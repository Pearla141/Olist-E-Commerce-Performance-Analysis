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8499f8619276fe/Documents/Olist-ecommerce-sql-analysis/"/>
    </mc:Choice>
  </mc:AlternateContent>
  <xr:revisionPtr revIDLastSave="1125" documentId="8_{26370691-965C-4ED8-B078-66A81485C78B}" xr6:coauthVersionLast="47" xr6:coauthVersionMax="47" xr10:uidLastSave="{9AD67BEA-6ED6-4722-A417-BBA5FD851F8A}"/>
  <bookViews>
    <workbookView xWindow="-96" yWindow="-96" windowWidth="19392" windowHeight="10392" activeTab="1" xr2:uid="{F2B633AF-EEA4-4AA2-AADD-A441DE525988}"/>
  </bookViews>
  <sheets>
    <sheet name="KPI" sheetId="1" r:id="rId1"/>
    <sheet name="Dashboard" sheetId="11" r:id="rId2"/>
    <sheet name="Monthly_revenue_trend" sheetId="10" r:id="rId3"/>
    <sheet name="Revenue_concentration" sheetId="4" r:id="rId4"/>
    <sheet name="Operational_insights" sheetId="5" r:id="rId5"/>
    <sheet name="Payment_behavior" sheetId="6" r:id="rId6"/>
  </sheets>
  <definedNames>
    <definedName name="ExternalData_1" localSheetId="2" hidden="1">Monthly_revenue_trend!$A$1:$D$24</definedName>
    <definedName name="ExternalData_1" localSheetId="4" hidden="1">Operational_insights!$A$1:$C$28</definedName>
    <definedName name="ExternalData_1" localSheetId="5" hidden="1">Payment_behavior!$A$1:$C$25</definedName>
    <definedName name="ExternalData_1" localSheetId="3" hidden="1">Revenue_concentration!$A$1:$C$11</definedName>
    <definedName name="ExternalData_2" localSheetId="2" hidden="1">Monthly_revenue_trend!$A$28:$A$29</definedName>
    <definedName name="ExternalData_3" localSheetId="2" hidden="1">Monthly_revenue_trend!$A$33:$A$34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4" i="1" a="1"/>
  <c r="B4" i="1" s="1"/>
  <c r="B5" i="1" a="1"/>
  <c r="B5" i="1" s="1"/>
  <c r="B3" i="1"/>
  <c r="B2" i="1"/>
  <c r="D25" i="10"/>
  <c r="B25" i="10"/>
  <c r="C2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54DE9E-C59F-4CA6-8DFD-3AE8E38E30E2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21DA3C3A-8117-4F2F-B6E9-A9D4CA92F146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3" xr16:uid="{E1F24188-8D52-4EA4-A185-2C01E9F3D13A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4" xr16:uid="{85661F72-5F73-4A12-90BF-DF6913A1AC7B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  <connection id="5" xr16:uid="{B4647601-44F4-4F76-BFBD-5118B686846E}" keepAlive="1" name="Query - Query5" description="Connection to the 'Query5' query in the workbook." type="5" refreshedVersion="8" background="1" saveData="1">
    <dbPr connection="Provider=Microsoft.Mashup.OleDb.1;Data Source=$Workbook$;Location=Query5;Extended Properties=&quot;&quot;" command="SELECT * FROM [Query5]"/>
  </connection>
  <connection id="6" xr16:uid="{2E6E4CF0-3ACC-430F-B417-9332804A3F67}" keepAlive="1" name="Query - Query6" description="Connection to the 'Query6' query in the workbook." type="5" refreshedVersion="8" background="1" saveData="1">
    <dbPr connection="Provider=Microsoft.Mashup.OleDb.1;Data Source=$Workbook$;Location=Query6;Extended Properties=&quot;&quot;" command="SELECT * FROM [Query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<sst xmlns="http://schemas.openxmlformats.org/spreadsheetml/2006/main" count="82" uniqueCount="78">
  <si>
    <t>seller_id</t>
  </si>
  <si>
    <t>total_revenue</t>
  </si>
  <si>
    <t>4869f7a5dfa277a7dca6462dcf3b52b2</t>
  </si>
  <si>
    <t>7c67e1448b00f6e969d365cea6b010ab</t>
  </si>
  <si>
    <t>4a3ca9315b744ce9f8e9374361493884</t>
  </si>
  <si>
    <t>53243585a1d6dc2643021fd1853d8905</t>
  </si>
  <si>
    <t>fa1c13f2614d7b5c4749cbc52fecda94</t>
  </si>
  <si>
    <t>da8622b14eb17ae2831f4ac5b9dab84a</t>
  </si>
  <si>
    <t>7e93a43ef30c4f03f38b393420bc753a</t>
  </si>
  <si>
    <t>1025f0e2d44d7041d6cf58b6550e0bfa</t>
  </si>
  <si>
    <t>7a67c85e85bb2ce8582c35f2203ad736</t>
  </si>
  <si>
    <t>955fee9216a65b617aa5c0531780ce60</t>
  </si>
  <si>
    <t>customer_state</t>
  </si>
  <si>
    <t>total_orders</t>
  </si>
  <si>
    <t>avg_delivery_days</t>
  </si>
  <si>
    <t>RR</t>
  </si>
  <si>
    <t>AP</t>
  </si>
  <si>
    <t>AM</t>
  </si>
  <si>
    <t>AL</t>
  </si>
  <si>
    <t>PA</t>
  </si>
  <si>
    <t>AC</t>
  </si>
  <si>
    <t>SE</t>
  </si>
  <si>
    <t>MA</t>
  </si>
  <si>
    <t>CE</t>
  </si>
  <si>
    <t>PB</t>
  </si>
  <si>
    <t>BA</t>
  </si>
  <si>
    <t>RO</t>
  </si>
  <si>
    <t>RN</t>
  </si>
  <si>
    <t>PI</t>
  </si>
  <si>
    <t>MT</t>
  </si>
  <si>
    <t>PE</t>
  </si>
  <si>
    <t>TO</t>
  </si>
  <si>
    <t>RS</t>
  </si>
  <si>
    <t>RJ</t>
  </si>
  <si>
    <t>ES</t>
  </si>
  <si>
    <t>MS</t>
  </si>
  <si>
    <t>GO</t>
  </si>
  <si>
    <t>SC</t>
  </si>
  <si>
    <t>DF</t>
  </si>
  <si>
    <t>PR</t>
  </si>
  <si>
    <t>MG</t>
  </si>
  <si>
    <t>SP</t>
  </si>
  <si>
    <t>installments</t>
  </si>
  <si>
    <t>avg_order_value</t>
  </si>
  <si>
    <t>order_date</t>
  </si>
  <si>
    <t>Sep-2016</t>
  </si>
  <si>
    <t>Oct-2016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</si>
  <si>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</si>
  <si>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</si>
  <si>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</si>
  <si>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</si>
  <si>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</si>
  <si>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</si>
  <si>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</si>
  <si>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</si>
  <si>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</si>
  <si>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</si>
  <si>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</si>
  <si>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</si>
  <si>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</si>
  <si>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</si>
  <si>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</si>
  <si>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</si>
  <si>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</si>
  <si>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</si>
  <si>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</si>
  <si>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</si>
  <si>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</si>
  <si>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Total</t>
  </si>
  <si>
    <t>Total revenue</t>
  </si>
  <si>
    <t>Total orders</t>
  </si>
  <si>
    <t>Avg review score</t>
  </si>
  <si>
    <t>% revenue from Top 20% sellers</t>
  </si>
  <si>
    <t>avg_review_score</t>
  </si>
  <si>
    <t>percentage_contribution</t>
  </si>
  <si>
    <t>Column1</t>
  </si>
  <si>
    <t xml:space="preserve">REVENUE INSIGHTS </t>
  </si>
  <si>
    <t>OPERATIONAL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</si>
</sst>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£&quot;#,##0.00"/>
    <numFmt numFmtId="165" formatCode="&quot;£&quot;#,##0.00#,,&quot;M&quot;"/>
    <numFmt numFmtId="166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6" tint="-0.249977111117893"/>
      <name val="Aptos Narrow"/>
      <family val="2"/>
      <scheme val="minor"/>
    </font>
    <font>
      <sz val="11"/>
      <color theme="1"/>
      <name val="Aptos Narrow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0" xfId="2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1" xfId="0" applyFont="1" applyBorder="1"/>
    <xf numFmtId="166" fontId="0" fillId="0" borderId="9" xfId="1" applyNumberFormat="1" applyFont="1" applyBorder="1" applyAlignment="1">
      <alignment vertical="center"/>
    </xf>
    <xf numFmtId="166" fontId="0" fillId="0" borderId="1" xfId="1" applyNumberFormat="1" applyFon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166" fontId="1" fillId="0" borderId="8" xfId="1" applyNumberFormat="1" applyFont="1" applyBorder="1" applyAlignment="1">
      <alignment vertical="center"/>
    </xf>
    <xf numFmtId="166" fontId="0" fillId="0" borderId="0" xfId="1" applyNumberFormat="1" applyFont="1" applyAlignment="1">
      <alignment vertical="center"/>
    </xf>
    <xf numFmtId="164" fontId="1" fillId="0" borderId="8" xfId="0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0" xfId="0" applyNumberFormat="1"/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0" fillId="3" borderId="0" xfId="0" applyFill="1" applyAlignment="1">
      <alignment wrapText="1"/>
    </xf>
    <xf numFmtId="0" fontId="6" fillId="3" borderId="0" xfId="0" applyFont="1" applyFill="1"/>
    <xf numFmtId="165" fontId="7" fillId="3" borderId="1" xfId="3" applyNumberFormat="1" applyFont="1" applyFill="1" applyBorder="1" applyAlignment="1">
      <alignment horizontal="center" vertical="center"/>
    </xf>
    <xf numFmtId="3" fontId="7" fillId="3" borderId="1" xfId="3" applyNumberFormat="1" applyFont="1" applyFill="1" applyBorder="1" applyAlignment="1">
      <alignment horizontal="center" vertical="center"/>
    </xf>
    <xf numFmtId="2" fontId="7" fillId="3" borderId="1" xfId="3" applyNumberFormat="1" applyFont="1" applyFill="1" applyBorder="1" applyAlignment="1">
      <alignment horizontal="center" vertical="center"/>
    </xf>
    <xf numFmtId="10" fontId="7" fillId="3" borderId="1" xfId="3" applyNumberFormat="1" applyFont="1" applyFill="1" applyBorder="1" applyAlignment="1">
      <alignment horizontal="center" vertical="center"/>
    </xf>
  </cellXfs>
  <cellStyles count="4">
    <cellStyle name="Accent4" xfId="3" builtinId="41"/>
    <cellStyle name="Comma" xfId="1" builtinId="3"/>
    <cellStyle name="Normal" xfId="0" builtinId="0"/>
    <cellStyle name="Percent" xfId="2" builtinId="5"/>
  </cellStyles>
  <dxfs count="40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£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£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* #,##0_-;\-* #,##0_-;_-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>
                    <a:lumMod val="75000"/>
                  </a:schemeClr>
                </a:solidFill>
              </a:rPr>
              <a:t>Top 10 sellers by revenue</a:t>
            </a:r>
          </a:p>
        </c:rich>
      </c:tx>
      <c:layout>
        <c:manualLayout>
          <c:xMode val="edge"/>
          <c:yMode val="edge"/>
          <c:x val="0.3300119942795699"/>
          <c:y val="9.088167027629101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46479782117149"/>
          <c:y val="0.16873434393273615"/>
          <c:w val="0.53975180486933083"/>
          <c:h val="0.629635692558104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Revenue_concentration!$B$1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Revenue_concentration!$B$2:$B$11</c:f>
              <c:strCache>
                <c:ptCount val="10"/>
                <c:pt idx="0">
                  <c:v>Seller 1</c:v>
                </c:pt>
                <c:pt idx="1">
                  <c:v>Seller 2</c:v>
                </c:pt>
                <c:pt idx="2">
                  <c:v>Seller 3</c:v>
                </c:pt>
                <c:pt idx="3">
                  <c:v>Seller 4</c:v>
                </c:pt>
                <c:pt idx="4">
                  <c:v>Seller 5</c:v>
                </c:pt>
                <c:pt idx="5">
                  <c:v>Seller 6</c:v>
                </c:pt>
                <c:pt idx="6">
                  <c:v>Seller 7</c:v>
                </c:pt>
                <c:pt idx="7">
                  <c:v>Seller 8</c:v>
                </c:pt>
                <c:pt idx="8">
                  <c:v>Seller 9</c:v>
                </c:pt>
                <c:pt idx="9">
                  <c:v>Seller 10</c:v>
                </c:pt>
              </c:strCache>
            </c:strRef>
          </c:cat>
          <c:val>
            <c:numRef>
              <c:f>Revenue_concentration!$B$2:$B$11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F-47F0-A3EF-5A9E81A8A37B}"/>
            </c:ext>
          </c:extLst>
        </c:ser>
        <c:ser>
          <c:idx val="1"/>
          <c:order val="1"/>
          <c:tx>
            <c:strRef>
              <c:f>Revenue_concentration!$C$1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  <c:invertIfNegative val="0"/>
          <c:cat>
            <c:strRef>
              <c:f>Revenue_concentration!$B$2:$B$11</c:f>
              <c:strCache>
                <c:ptCount val="10"/>
                <c:pt idx="0">
                  <c:v>Seller 1</c:v>
                </c:pt>
                <c:pt idx="1">
                  <c:v>Seller 2</c:v>
                </c:pt>
                <c:pt idx="2">
                  <c:v>Seller 3</c:v>
                </c:pt>
                <c:pt idx="3">
                  <c:v>Seller 4</c:v>
                </c:pt>
                <c:pt idx="4">
                  <c:v>Seller 5</c:v>
                </c:pt>
                <c:pt idx="5">
                  <c:v>Seller 6</c:v>
                </c:pt>
                <c:pt idx="6">
                  <c:v>Seller 7</c:v>
                </c:pt>
                <c:pt idx="7">
                  <c:v>Seller 8</c:v>
                </c:pt>
                <c:pt idx="8">
                  <c:v>Seller 9</c:v>
                </c:pt>
                <c:pt idx="9">
                  <c:v>Seller 10</c:v>
                </c:pt>
              </c:strCache>
            </c:strRef>
          </c:cat>
          <c:val>
            <c:numRef>
              <c:f>Revenue_concentration!$C$2:$C$11</c:f>
              <c:numCache>
                <c:formatCode>General</c:formatCode>
                <c:ptCount val="10"/>
                <c:pt idx="0">
                  <c:v>156606.48069047928</c:v>
                </c:pt>
                <c:pt idx="1">
                  <c:v>160278.52160453796</c:v>
                </c:pt>
                <c:pt idx="2">
                  <c:v>171924.96062781848</c:v>
                </c:pt>
                <c:pt idx="3">
                  <c:v>171973.54936361313</c:v>
                </c:pt>
                <c:pt idx="4">
                  <c:v>184706.77810239792</c:v>
                </c:pt>
                <c:pt idx="5">
                  <c:v>200833.49939870834</c:v>
                </c:pt>
                <c:pt idx="6">
                  <c:v>230797.01956653595</c:v>
                </c:pt>
                <c:pt idx="7">
                  <c:v>231220.43150305748</c:v>
                </c:pt>
                <c:pt idx="8">
                  <c:v>237806.69195662066</c:v>
                </c:pt>
                <c:pt idx="9">
                  <c:v>247007.05833983421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7F-47F0-A3EF-5A9E81A8A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3891616"/>
        <c:axId val="643897016"/>
      </c:barChart>
      <c:catAx>
        <c:axId val="643891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3">
                        <a:lumMod val="75000"/>
                      </a:schemeClr>
                    </a:solidFill>
                  </a:rPr>
                  <a:t>Seller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897016"/>
        <c:crosses val="autoZero"/>
        <c:auto val="1"/>
        <c:lblAlgn val="ctr"/>
        <c:lblOffset val="100"/>
        <c:noMultiLvlLbl val="0"/>
      </c:catAx>
      <c:valAx>
        <c:axId val="64389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3">
                        <a:lumMod val="75000"/>
                      </a:schemeClr>
                    </a:solidFill>
                  </a:rPr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89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>
                    <a:lumMod val="75000"/>
                  </a:schemeClr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strRef>
              <c:f>Monthly_revenue_trend!$A$2:$A$24</c:f>
              <c:strCache>
                <c:ptCount val="23"/>
                <c:pt idx="0">
                  <c:v>Sep-2016</c:v>
                </c:pt>
                <c:pt idx="1">
                  <c:v>Oct-2016</c:v>
                </c:pt>
                <c:pt idx="2">
                  <c:v>Dec-2016</c:v>
                </c:pt>
                <c:pt idx="3">
                  <c:v>Jan-2017</c:v>
                </c:pt>
                <c:pt idx="4">
                  <c:v>Feb-2017</c:v>
                </c:pt>
                <c:pt idx="5">
                  <c:v>Mar-2017</c:v>
                </c:pt>
                <c:pt idx="6">
                  <c:v>Apr-2017</c:v>
                </c:pt>
                <c:pt idx="7">
                  <c:v>May-2017</c:v>
                </c:pt>
                <c:pt idx="8">
                  <c:v>Jun-2017</c:v>
                </c:pt>
                <c:pt idx="9">
                  <c:v>Jul-2017</c:v>
                </c:pt>
                <c:pt idx="10">
                  <c:v>Aug-2017</c:v>
                </c:pt>
                <c:pt idx="11">
                  <c:v>Sep-2017</c:v>
                </c:pt>
                <c:pt idx="12">
                  <c:v>Oct-2017</c:v>
                </c:pt>
                <c:pt idx="13">
                  <c:v>Nov-2017</c:v>
                </c:pt>
                <c:pt idx="14">
                  <c:v>Dec-2017</c:v>
                </c:pt>
                <c:pt idx="15">
                  <c:v>Jan-2018</c:v>
                </c:pt>
                <c:pt idx="16">
                  <c:v>Feb-2018</c:v>
                </c:pt>
                <c:pt idx="17">
                  <c:v>Mar-2018</c:v>
                </c:pt>
                <c:pt idx="18">
                  <c:v>Apr-2018</c:v>
                </c:pt>
                <c:pt idx="19">
                  <c:v>May-2018</c:v>
                </c:pt>
                <c:pt idx="20">
                  <c:v>Jun-2018</c:v>
                </c:pt>
                <c:pt idx="21">
                  <c:v>Jul-2018</c:v>
                </c:pt>
                <c:pt idx="22">
                  <c:v>Aug-2018</c:v>
                </c:pt>
              </c:strCache>
            </c:strRef>
          </c:cat>
          <c:val>
            <c:numRef>
              <c:f>Monthly_revenue_trend!$C$2:$C$24</c:f>
              <c:numCache>
                <c:formatCode>"£"#,##0.00</c:formatCode>
                <c:ptCount val="23"/>
                <c:pt idx="0">
                  <c:v>143.46000480651855</c:v>
                </c:pt>
                <c:pt idx="1">
                  <c:v>46671.479865550995</c:v>
                </c:pt>
                <c:pt idx="2">
                  <c:v>19.619999885559082</c:v>
                </c:pt>
                <c:pt idx="3">
                  <c:v>128454.09990283288</c:v>
                </c:pt>
                <c:pt idx="4">
                  <c:v>272657.25996021554</c:v>
                </c:pt>
                <c:pt idx="5">
                  <c:v>416327.29959148169</c:v>
                </c:pt>
                <c:pt idx="6">
                  <c:v>391484.44974863529</c:v>
                </c:pt>
                <c:pt idx="7">
                  <c:v>570837.89966866747</c:v>
                </c:pt>
                <c:pt idx="8">
                  <c:v>494147.47042387724</c:v>
                </c:pt>
                <c:pt idx="9">
                  <c:v>570027.48068630137</c:v>
                </c:pt>
                <c:pt idx="10">
                  <c:v>651423.74076068401</c:v>
                </c:pt>
                <c:pt idx="11">
                  <c:v>703978.53977910802</c:v>
                </c:pt>
                <c:pt idx="12">
                  <c:v>755217.45034024678</c:v>
                </c:pt>
                <c:pt idx="13">
                  <c:v>1161920.5316341035</c:v>
                </c:pt>
                <c:pt idx="14">
                  <c:v>846369.60024387203</c:v>
                </c:pt>
                <c:pt idx="15">
                  <c:v>1084202.9619737528</c:v>
                </c:pt>
                <c:pt idx="16">
                  <c:v>977182.1419416666</c:v>
                </c:pt>
                <c:pt idx="17">
                  <c:v>1125026.3209884912</c:v>
                </c:pt>
                <c:pt idx="18">
                  <c:v>1135408.1090527773</c:v>
                </c:pt>
                <c:pt idx="19">
                  <c:v>1129431.649291195</c:v>
                </c:pt>
                <c:pt idx="20">
                  <c:v>1012975.6492569931</c:v>
                </c:pt>
                <c:pt idx="21">
                  <c:v>1030162.0002663136</c:v>
                </c:pt>
                <c:pt idx="22">
                  <c:v>985596.33977640606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E-49DF-B4ED-C5AEF498B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030232"/>
        <c:axId val="939022312"/>
      </c:lineChart>
      <c:catAx>
        <c:axId val="939030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3">
                        <a:lumMod val="75000"/>
                      </a:schemeClr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22312"/>
        <c:crosses val="autoZero"/>
        <c:auto val="1"/>
        <c:lblAlgn val="ctr"/>
        <c:lblOffset val="100"/>
        <c:tickLblSkip val="3"/>
        <c:noMultiLvlLbl val="0"/>
      </c:catAx>
      <c:valAx>
        <c:axId val="93902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3">
                        <a:lumMod val="75000"/>
                      </a:schemeClr>
                    </a:solidFill>
                  </a:rPr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30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>
                    <a:lumMod val="75000"/>
                  </a:schemeClr>
                </a:solidFill>
              </a:rPr>
              <a:t>Average delivery days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30280253160017E-2"/>
          <c:y val="0.16170285367467946"/>
          <c:w val="0.92200831747185985"/>
          <c:h val="0.645058935481301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Operational_insights!$C$1</c:f>
              <c:strCache>
                <c:ptCount val="1"/>
                <c:pt idx="0">
                  <c:v>avg_delivery_days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  <c:invertIfNegative val="0"/>
          <c:cat>
            <c:strRef>
              <c:f>Operational_insights!$A$2:$A$28</c:f>
              <c:strCache>
                <c:ptCount val="27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AC</c:v>
                </c:pt>
                <c:pt idx="6">
                  <c:v>SE</c:v>
                </c:pt>
                <c:pt idx="7">
                  <c:v>MA</c:v>
                </c:pt>
                <c:pt idx="8">
                  <c:v>CE</c:v>
                </c:pt>
                <c:pt idx="9">
                  <c:v>PB</c:v>
                </c:pt>
                <c:pt idx="10">
                  <c:v>BA</c:v>
                </c:pt>
                <c:pt idx="11">
                  <c:v>RO</c:v>
                </c:pt>
                <c:pt idx="12">
                  <c:v>RN</c:v>
                </c:pt>
                <c:pt idx="13">
                  <c:v>PI</c:v>
                </c:pt>
                <c:pt idx="14">
                  <c:v>MT</c:v>
                </c:pt>
                <c:pt idx="15">
                  <c:v>PE</c:v>
                </c:pt>
                <c:pt idx="16">
                  <c:v>TO</c:v>
                </c:pt>
                <c:pt idx="17">
                  <c:v>RS</c:v>
                </c:pt>
                <c:pt idx="18">
                  <c:v>RJ</c:v>
                </c:pt>
                <c:pt idx="19">
                  <c:v>ES</c:v>
                </c:pt>
                <c:pt idx="20">
                  <c:v>MS</c:v>
                </c:pt>
                <c:pt idx="21">
                  <c:v>GO</c:v>
                </c:pt>
                <c:pt idx="22">
                  <c:v>SC</c:v>
                </c:pt>
                <c:pt idx="23">
                  <c:v>DF</c:v>
                </c:pt>
                <c:pt idx="24">
                  <c:v>PR</c:v>
                </c:pt>
                <c:pt idx="25">
                  <c:v>MG</c:v>
                </c:pt>
                <c:pt idx="26">
                  <c:v>SP</c:v>
                </c:pt>
              </c:strCache>
            </c:strRef>
          </c:cat>
          <c:val>
            <c:numRef>
              <c:f>Operational_insights!$C$2:$C$28</c:f>
              <c:numCache>
                <c:formatCode>General</c:formatCode>
                <c:ptCount val="27"/>
                <c:pt idx="0">
                  <c:v>29</c:v>
                </c:pt>
                <c:pt idx="1">
                  <c:v>27</c:v>
                </c:pt>
                <c:pt idx="2">
                  <c:v>26</c:v>
                </c:pt>
                <c:pt idx="3">
                  <c:v>24</c:v>
                </c:pt>
                <c:pt idx="4">
                  <c:v>23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20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18</c:v>
                </c:pt>
                <c:pt idx="15">
                  <c:v>18</c:v>
                </c:pt>
                <c:pt idx="16">
                  <c:v>17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14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4-4A7B-B1BA-3BF30EFD0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794768"/>
        <c:axId val="893791888"/>
      </c:barChart>
      <c:catAx>
        <c:axId val="89379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3">
                        <a:lumMod val="75000"/>
                      </a:schemeClr>
                    </a:solidFill>
                  </a:rPr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91888"/>
        <c:crosses val="autoZero"/>
        <c:auto val="1"/>
        <c:lblAlgn val="ctr"/>
        <c:lblOffset val="100"/>
        <c:noMultiLvlLbl val="0"/>
      </c:catAx>
      <c:valAx>
        <c:axId val="8937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9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3">
                    <a:lumMod val="75000"/>
                  </a:schemeClr>
                </a:solidFill>
              </a:rPr>
              <a:t>Avg Order Value by Number of Installments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Payment_behavior!$B$1</c:f>
              <c:strCache>
                <c:ptCount val="1"/>
                <c:pt idx="0">
                  <c:v>avg_order_value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  <c:invertIfNegative val="0"/>
          <c:cat>
            <c:numRef>
              <c:f>Payment_behavior!$A$2:$A$25</c:f>
              <c:numCache>
                <c:formatCode>General</c:formatCode>
                <c:ptCount val="24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</c:numCache>
            </c:numRef>
          </c:cat>
          <c:val>
            <c:numRef>
              <c:f>Payment_behavior!$B$2:$B$25</c:f>
              <c:numCache>
                <c:formatCode>0.00</c:formatCode>
                <c:ptCount val="24"/>
                <c:pt idx="0">
                  <c:v>618.55166625976563</c:v>
                </c:pt>
                <c:pt idx="1">
                  <c:v>236.47999572753906</c:v>
                </c:pt>
                <c:pt idx="2">
                  <c:v>228.71000671386719</c:v>
                </c:pt>
                <c:pt idx="3">
                  <c:v>243.69999694824219</c:v>
                </c:pt>
                <c:pt idx="4">
                  <c:v>615.80176499310664</c:v>
                </c:pt>
                <c:pt idx="5">
                  <c:v>490.18703432436342</c:v>
                </c:pt>
                <c:pt idx="6">
                  <c:v>174.60249900817871</c:v>
                </c:pt>
                <c:pt idx="7">
                  <c:v>292.69399719238282</c:v>
                </c:pt>
                <c:pt idx="8">
                  <c:v>447.30040715191814</c:v>
                </c:pt>
                <c:pt idx="9">
                  <c:v>176.31066684722902</c:v>
                </c:pt>
                <c:pt idx="10">
                  <c:v>150.46249961853027</c:v>
                </c:pt>
                <c:pt idx="11">
                  <c:v>323.05195630582654</c:v>
                </c:pt>
                <c:pt idx="12">
                  <c:v>124.93217468261719</c:v>
                </c:pt>
                <c:pt idx="13">
                  <c:v>418.74726079775445</c:v>
                </c:pt>
                <c:pt idx="14">
                  <c:v>204.57953429481259</c:v>
                </c:pt>
                <c:pt idx="15">
                  <c:v>309.77434690353084</c:v>
                </c:pt>
                <c:pt idx="16">
                  <c:v>189.3354748833635</c:v>
                </c:pt>
                <c:pt idx="17">
                  <c:v>211.59433465769243</c:v>
                </c:pt>
                <c:pt idx="18">
                  <c:v>184.8886185669183</c:v>
                </c:pt>
                <c:pt idx="19">
                  <c:v>165.0600326642963</c:v>
                </c:pt>
                <c:pt idx="20">
                  <c:v>144.36210851243982</c:v>
                </c:pt>
                <c:pt idx="21">
                  <c:v>129.12455395710927</c:v>
                </c:pt>
                <c:pt idx="22">
                  <c:v>121.03747139670539</c:v>
                </c:pt>
                <c:pt idx="23">
                  <c:v>94.315000534057617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4-4170-B93F-3BE3F5C09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8340568"/>
        <c:axId val="768342368"/>
      </c:barChart>
      <c:catAx>
        <c:axId val="768340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3">
                        <a:lumMod val="75000"/>
                      </a:schemeClr>
                    </a:solidFill>
                  </a:rPr>
                  <a:t>Installments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232214202391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42368"/>
        <c:crosses val="autoZero"/>
        <c:auto val="1"/>
        <c:lblAlgn val="ctr"/>
        <c:lblOffset val="100"/>
        <c:noMultiLvlLbl val="0"/>
      </c:catAx>
      <c:valAx>
        <c:axId val="76834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3">
                        <a:lumMod val="75000"/>
                      </a:schemeClr>
                    </a:solidFill>
                  </a:rPr>
                  <a:t>Avg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40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chart" Target="../charts/chart1.xml"/><Relationship Id="rId7" Type="http://schemas.openxmlformats.org/officeDocument/2006/relationships/image" Target="../media/image6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2</xdr:row>
      <xdr:rowOff>55699</xdr:rowOff>
    </xdr:from>
    <xdr:to>
      <xdr:col>13</xdr:col>
      <xdr:colOff>335280</xdr:colOff>
      <xdr:row>7</xdr:row>
      <xdr:rowOff>19958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3B8E538B-04E9-E0EF-37BD-DC9655AA495F}"/>
            </a:ext>
          </a:extLst>
        </xdr:cNvPr>
        <xdr:cNvGrpSpPr/>
      </xdr:nvGrpSpPr>
      <xdr:grpSpPr>
        <a:xfrm>
          <a:off x="5880463" y="418556"/>
          <a:ext cx="2827746" cy="871402"/>
          <a:chOff x="5827395" y="417649"/>
          <a:chExt cx="2804160" cy="869134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E4D45917-02B8-4E11-A127-6E4F4C38A63F}"/>
              </a:ext>
            </a:extLst>
          </xdr:cNvPr>
          <xdr:cNvSpPr/>
        </xdr:nvSpPr>
        <xdr:spPr>
          <a:xfrm>
            <a:off x="5827395" y="417649"/>
            <a:ext cx="2804160" cy="869134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000" b="1">
                <a:solidFill>
                  <a:schemeClr val="accent3">
                    <a:lumMod val="75000"/>
                  </a:schemeClr>
                </a:solidFill>
              </a:rPr>
              <a:t>AVERAGE</a:t>
            </a:r>
            <a:r>
              <a:rPr lang="en-GB" sz="1000" b="1" baseline="0">
                <a:solidFill>
                  <a:schemeClr val="accent3">
                    <a:lumMod val="75000"/>
                  </a:schemeClr>
                </a:solidFill>
              </a:rPr>
              <a:t> REVIEW SCORE</a:t>
            </a:r>
          </a:p>
          <a:p>
            <a:pPr algn="ctr"/>
            <a:r>
              <a:rPr lang="en-GB" sz="2400" b="1" i="0" u="none" strike="noStrike">
                <a:solidFill>
                  <a:schemeClr val="accent3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rPr>
              <a:t>4.00</a:t>
            </a:r>
            <a:r>
              <a:rPr lang="en-GB" sz="2400" b="1">
                <a:solidFill>
                  <a:schemeClr val="accent3">
                    <a:lumMod val="75000"/>
                  </a:schemeClr>
                </a:solidFill>
                <a:effectLst/>
              </a:rPr>
              <a:t> </a:t>
            </a:r>
            <a:endParaRPr lang="en-GB" sz="2400" b="1">
              <a:solidFill>
                <a:schemeClr val="accent3">
                  <a:lumMod val="75000"/>
                </a:schemeClr>
              </a:solidFill>
            </a:endParaRPr>
          </a:p>
        </xdr:txBody>
      </xdr:sp>
      <xdr:pic>
        <xdr:nvPicPr>
          <xdr:cNvPr id="29" name="Graphic 28" descr="Star with solid fill">
            <a:extLst>
              <a:ext uri="{FF2B5EF4-FFF2-40B4-BE49-F238E27FC236}">
                <a16:creationId xmlns:a16="http://schemas.microsoft.com/office/drawing/2014/main" id="{2E084E2B-E2B5-D4EC-358A-04B4A34D31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633210" y="762231"/>
            <a:ext cx="327660" cy="325755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632565</xdr:colOff>
      <xdr:row>9</xdr:row>
      <xdr:rowOff>25400</xdr:rowOff>
    </xdr:from>
    <xdr:to>
      <xdr:col>18</xdr:col>
      <xdr:colOff>11785</xdr:colOff>
      <xdr:row>27</xdr:row>
      <xdr:rowOff>67654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C4F92286-494B-2FC1-1926-F31B4D88CD90}"/>
            </a:ext>
          </a:extLst>
        </xdr:cNvPr>
        <xdr:cNvGrpSpPr/>
      </xdr:nvGrpSpPr>
      <xdr:grpSpPr>
        <a:xfrm>
          <a:off x="5785136" y="1712686"/>
          <a:ext cx="5819935" cy="3307968"/>
          <a:chOff x="5801959" y="1698364"/>
          <a:chExt cx="5660715" cy="3363239"/>
        </a:xfrm>
      </xdr:grpSpPr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7D787AE2-6A68-4214-ACC0-3E38DC8393D5}"/>
              </a:ext>
            </a:extLst>
          </xdr:cNvPr>
          <xdr:cNvGraphicFramePr>
            <a:graphicFrameLocks/>
          </xdr:cNvGraphicFramePr>
        </xdr:nvGraphicFramePr>
        <xdr:xfrm>
          <a:off x="5801959" y="1698364"/>
          <a:ext cx="5660715" cy="27971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3DD17E76-7E2E-D37F-C5CF-3C89DF33240B}"/>
              </a:ext>
            </a:extLst>
          </xdr:cNvPr>
          <xdr:cNvSpPr txBox="1"/>
        </xdr:nvSpPr>
        <xdr:spPr>
          <a:xfrm>
            <a:off x="5806661" y="4497265"/>
            <a:ext cx="5647620" cy="56433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1">
                <a:solidFill>
                  <a:schemeClr val="accent3">
                    <a:lumMod val="75000"/>
                  </a:schemeClr>
                </a:solidFill>
              </a:rPr>
              <a:t>Top 20% sellers</a:t>
            </a:r>
            <a:r>
              <a:rPr lang="en-GB" sz="1400" b="1" baseline="0">
                <a:solidFill>
                  <a:schemeClr val="accent3">
                    <a:lumMod val="75000"/>
                  </a:schemeClr>
                </a:solidFill>
              </a:rPr>
              <a:t> contribute 81.6% of revenue, indicating strong revenue concentration.</a:t>
            </a:r>
            <a:endParaRPr lang="en-GB" sz="1400" b="1">
              <a:solidFill>
                <a:schemeClr val="accent3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15241</xdr:rowOff>
    </xdr:from>
    <xdr:to>
      <xdr:col>18</xdr:col>
      <xdr:colOff>50800</xdr:colOff>
      <xdr:row>49</xdr:row>
      <xdr:rowOff>22225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3DF4FA7B-69FE-FB16-2647-9842A660768F}"/>
            </a:ext>
          </a:extLst>
        </xdr:cNvPr>
        <xdr:cNvGrpSpPr/>
      </xdr:nvGrpSpPr>
      <xdr:grpSpPr>
        <a:xfrm>
          <a:off x="0" y="15241"/>
          <a:ext cx="11644086" cy="9005841"/>
          <a:chOff x="0" y="15241"/>
          <a:chExt cx="11578077" cy="9041573"/>
        </a:xfrm>
        <a:effectLst>
          <a:outerShdw blurRad="50800" dist="38100" dir="16200000" rotWithShape="0">
            <a:prstClr val="black">
              <a:alpha val="40000"/>
            </a:prstClr>
          </a:outerShdw>
        </a:effectLst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5F634D9-127D-27D1-C820-644CBB3E8F8E}"/>
              </a:ext>
            </a:extLst>
          </xdr:cNvPr>
          <xdr:cNvSpPr/>
        </xdr:nvSpPr>
        <xdr:spPr>
          <a:xfrm>
            <a:off x="1" y="15241"/>
            <a:ext cx="11578076" cy="353127"/>
          </a:xfrm>
          <a:prstGeom prst="rect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001">
            <a:schemeClr val="dk2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800" b="1">
                <a:latin typeface="+mj-lt"/>
              </a:rPr>
              <a:t>E-Commerce Performance Dashboard -</a:t>
            </a:r>
            <a:r>
              <a:rPr lang="en-GB" sz="1800" b="1" baseline="0">
                <a:latin typeface="+mj-lt"/>
              </a:rPr>
              <a:t> Olist</a:t>
            </a:r>
            <a:endParaRPr lang="en-GB" sz="1800" b="1">
              <a:latin typeface="+mj-lt"/>
            </a:endParaRP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E9339772-11DF-7AAA-16DB-A8A2C859ACCF}"/>
              </a:ext>
            </a:extLst>
          </xdr:cNvPr>
          <xdr:cNvSpPr/>
        </xdr:nvSpPr>
        <xdr:spPr>
          <a:xfrm>
            <a:off x="0" y="417406"/>
            <a:ext cx="2813912" cy="877974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000" b="1">
                <a:solidFill>
                  <a:schemeClr val="accent3">
                    <a:lumMod val="75000"/>
                  </a:schemeClr>
                </a:solidFill>
              </a:rPr>
              <a:t>TOTAL REVENUE</a:t>
            </a:r>
          </a:p>
          <a:p>
            <a:pPr algn="ctr"/>
            <a:r>
              <a:rPr lang="en-GB" sz="2400" b="1" i="0" u="none" strike="noStrike">
                <a:solidFill>
                  <a:schemeClr val="accent3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rPr>
              <a:t>£15.49M</a:t>
            </a:r>
            <a:r>
              <a:rPr lang="en-GB" sz="2400">
                <a:solidFill>
                  <a:schemeClr val="accent3">
                    <a:lumMod val="75000"/>
                  </a:schemeClr>
                </a:solidFill>
                <a:effectLst/>
              </a:rPr>
              <a:t> </a:t>
            </a:r>
            <a:endParaRPr lang="en-GB" sz="2400">
              <a:solidFill>
                <a:schemeClr val="accent3">
                  <a:lumMod val="75000"/>
                </a:schemeClr>
              </a:solidFill>
            </a:endParaRPr>
          </a:p>
        </xdr:txBody>
      </xdr:sp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8ACD7B72-0CD0-473E-C038-0139424ED82B}"/>
              </a:ext>
            </a:extLst>
          </xdr:cNvPr>
          <xdr:cNvGrpSpPr/>
        </xdr:nvGrpSpPr>
        <xdr:grpSpPr>
          <a:xfrm>
            <a:off x="2920418" y="409514"/>
            <a:ext cx="2813912" cy="877516"/>
            <a:chOff x="2910296" y="406400"/>
            <a:chExt cx="2804160" cy="870585"/>
          </a:xfrm>
        </xdr:grpSpPr>
        <xdr:sp macro="" textlink="">
          <xdr:nvSpPr>
            <xdr:cNvPr id="15" name="Rectangle: Rounded Corners 14">
              <a:extLst>
                <a:ext uri="{FF2B5EF4-FFF2-40B4-BE49-F238E27FC236}">
                  <a16:creationId xmlns:a16="http://schemas.microsoft.com/office/drawing/2014/main" id="{4539BAF4-3CFB-40E7-A592-7D27EB23CA2A}"/>
                </a:ext>
              </a:extLst>
            </xdr:cNvPr>
            <xdr:cNvSpPr/>
          </xdr:nvSpPr>
          <xdr:spPr>
            <a:xfrm>
              <a:off x="2910296" y="406400"/>
              <a:ext cx="2804160" cy="87058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GB" sz="1050" b="1">
                  <a:solidFill>
                    <a:schemeClr val="accent3">
                      <a:lumMod val="75000"/>
                    </a:schemeClr>
                  </a:solidFill>
                </a:rPr>
                <a:t>TOTAL ORDERS</a:t>
              </a:r>
            </a:p>
            <a:p>
              <a:pPr algn="ctr"/>
              <a:r>
                <a:rPr lang="en-GB" sz="2400" b="1" i="0" u="none" strike="noStrike">
                  <a:solidFill>
                    <a:schemeClr val="accent3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96,478</a:t>
              </a:r>
              <a:r>
                <a:rPr lang="en-GB" sz="2400" b="1">
                  <a:solidFill>
                    <a:schemeClr val="accent3">
                      <a:lumMod val="75000"/>
                    </a:schemeClr>
                  </a:solidFill>
                  <a:effectLst/>
                </a:rPr>
                <a:t> </a:t>
              </a:r>
            </a:p>
            <a:p>
              <a:pPr algn="ctr"/>
              <a:r>
                <a:rPr lang="en-GB" sz="1100" b="1">
                  <a:solidFill>
                    <a:schemeClr val="tx1"/>
                  </a:solidFill>
                </a:rPr>
                <a:t>	</a:t>
              </a:r>
            </a:p>
          </xdr:txBody>
        </xdr:sp>
        <xdr:pic>
          <xdr:nvPicPr>
            <xdr:cNvPr id="27" name="Graphic 26" descr="Shopping cart with solid fill">
              <a:extLst>
                <a:ext uri="{FF2B5EF4-FFF2-40B4-BE49-F238E27FC236}">
                  <a16:creationId xmlns:a16="http://schemas.microsoft.com/office/drawing/2014/main" id="{229C1188-D85F-5DD5-FDA5-845B5544DF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598501" y="789935"/>
              <a:ext cx="273269" cy="270568"/>
            </a:xfrm>
            <a:prstGeom prst="rect">
              <a:avLst/>
            </a:prstGeom>
          </xdr:spPr>
        </xdr:pic>
      </xdr:grpSp>
      <xdr:grpSp>
        <xdr:nvGrpSpPr>
          <xdr:cNvPr id="59" name="Group 58">
            <a:extLst>
              <a:ext uri="{FF2B5EF4-FFF2-40B4-BE49-F238E27FC236}">
                <a16:creationId xmlns:a16="http://schemas.microsoft.com/office/drawing/2014/main" id="{DC8ED5B7-58BF-FE8E-F52F-7DD344F49F4C}"/>
              </a:ext>
            </a:extLst>
          </xdr:cNvPr>
          <xdr:cNvGrpSpPr/>
        </xdr:nvGrpSpPr>
        <xdr:grpSpPr>
          <a:xfrm>
            <a:off x="8783008" y="414269"/>
            <a:ext cx="2763209" cy="875322"/>
            <a:chOff x="8752568" y="411117"/>
            <a:chExt cx="2753632" cy="868408"/>
          </a:xfrm>
        </xdr:grpSpPr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EFD02B06-DA14-4B5A-9AAC-3F037B89DF57}"/>
                </a:ext>
              </a:extLst>
            </xdr:cNvPr>
            <xdr:cNvSpPr/>
          </xdr:nvSpPr>
          <xdr:spPr>
            <a:xfrm>
              <a:off x="8752568" y="411117"/>
              <a:ext cx="2753632" cy="86840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GB" sz="1000" b="1">
                  <a:solidFill>
                    <a:schemeClr val="accent3">
                      <a:lumMod val="75000"/>
                    </a:schemeClr>
                  </a:solidFill>
                </a:rPr>
                <a:t>TOP 20% SELLER</a:t>
              </a:r>
              <a:r>
                <a:rPr lang="en-GB" sz="1000" b="1" baseline="0">
                  <a:solidFill>
                    <a:schemeClr val="accent3">
                      <a:lumMod val="75000"/>
                    </a:schemeClr>
                  </a:solidFill>
                </a:rPr>
                <a:t> REVENUE</a:t>
              </a:r>
            </a:p>
            <a:p>
              <a:pPr algn="ctr"/>
              <a:r>
                <a:rPr lang="en-GB" sz="2400" b="1" i="0" u="none" strike="noStrike">
                  <a:solidFill>
                    <a:schemeClr val="accent3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81.62%</a:t>
              </a:r>
              <a:r>
                <a:rPr lang="en-GB" sz="2400">
                  <a:solidFill>
                    <a:schemeClr val="tx1"/>
                  </a:solidFill>
                  <a:effectLst/>
                </a:rPr>
                <a:t> </a:t>
              </a:r>
              <a:endParaRPr lang="en-GB" sz="2400" b="1">
                <a:solidFill>
                  <a:schemeClr val="tx1"/>
                </a:solidFill>
              </a:endParaRPr>
            </a:p>
          </xdr:txBody>
        </xdr:sp>
        <xdr:pic>
          <xdr:nvPicPr>
            <xdr:cNvPr id="31" name="Graphic 30" descr="Pie chart with solid fill">
              <a:extLst>
                <a:ext uri="{FF2B5EF4-FFF2-40B4-BE49-F238E27FC236}">
                  <a16:creationId xmlns:a16="http://schemas.microsoft.com/office/drawing/2014/main" id="{A8F2DA03-5E9D-5185-ABAC-8DBC8C696E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9387840" y="781050"/>
              <a:ext cx="287655" cy="287655"/>
            </a:xfrm>
            <a:prstGeom prst="rect">
              <a:avLst/>
            </a:prstGeom>
          </xdr:spPr>
        </xdr:pic>
      </xdr:grpSp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419748EE-AF5D-D534-633C-A93DE3D869F0}"/>
              </a:ext>
            </a:extLst>
          </xdr:cNvPr>
          <xdr:cNvGrpSpPr/>
        </xdr:nvGrpSpPr>
        <xdr:grpSpPr>
          <a:xfrm>
            <a:off x="0" y="1417909"/>
            <a:ext cx="11525651" cy="3744964"/>
            <a:chOff x="0" y="1406830"/>
            <a:chExt cx="11485706" cy="3715385"/>
          </a:xfrm>
        </xdr:grpSpPr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9260D1CB-E6EB-388B-DF33-6FB47235A9EF}"/>
                </a:ext>
              </a:extLst>
            </xdr:cNvPr>
            <xdr:cNvSpPr/>
          </xdr:nvSpPr>
          <xdr:spPr>
            <a:xfrm>
              <a:off x="11891" y="1406830"/>
              <a:ext cx="11473815" cy="3715385"/>
            </a:xfrm>
            <a:prstGeom prst="rect">
              <a:avLst/>
            </a:prstGeom>
            <a:noFill/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41A1E34E-67D5-196E-216D-B0BDD40B61BF}"/>
                </a:ext>
              </a:extLst>
            </xdr:cNvPr>
            <xdr:cNvCxnSpPr/>
          </xdr:nvCxnSpPr>
          <xdr:spPr>
            <a:xfrm flipV="1">
              <a:off x="1603375" y="1575739"/>
              <a:ext cx="9766481" cy="5410"/>
            </a:xfrm>
            <a:prstGeom prst="line">
              <a:avLst/>
            </a:prstGeom>
            <a:ln/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F72F707B-B12D-563F-E641-938F4CC34979}"/>
                </a:ext>
              </a:extLst>
            </xdr:cNvPr>
            <xdr:cNvGrpSpPr/>
          </xdr:nvGrpSpPr>
          <xdr:grpSpPr>
            <a:xfrm>
              <a:off x="0" y="1691365"/>
              <a:ext cx="5642478" cy="3334706"/>
              <a:chOff x="0" y="1723115"/>
              <a:chExt cx="5667866" cy="3391911"/>
            </a:xfrm>
          </xdr:grpSpPr>
          <xdr:graphicFrame macro="">
            <xdr:nvGraphicFramePr>
              <xdr:cNvPr id="21" name="Chart 2">
                <a:extLst>
                  <a:ext uri="{FF2B5EF4-FFF2-40B4-BE49-F238E27FC236}">
                    <a16:creationId xmlns:a16="http://schemas.microsoft.com/office/drawing/2014/main" id="{D9DD4F05-430A-42E0-86B2-905269BC583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0" y="1723115"/>
              <a:ext cx="5667866" cy="278560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  <xdr:sp macro="" textlink="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26071F84-54B1-AE63-DA69-8FB190D15158}"/>
                  </a:ext>
                </a:extLst>
              </xdr:cNvPr>
              <xdr:cNvSpPr txBox="1"/>
            </xdr:nvSpPr>
            <xdr:spPr>
              <a:xfrm>
                <a:off x="25400" y="4508498"/>
                <a:ext cx="5633723" cy="60652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bg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GB" sz="1400" b="1">
                    <a:solidFill>
                      <a:schemeClr val="accent3">
                        <a:lumMod val="75000"/>
                      </a:schemeClr>
                    </a:solidFill>
                  </a:rPr>
                  <a:t>Revenue steadily increased</a:t>
                </a:r>
                <a:r>
                  <a:rPr lang="en-GB" sz="1400" b="1" baseline="0">
                    <a:solidFill>
                      <a:schemeClr val="accent3">
                        <a:lumMod val="75000"/>
                      </a:schemeClr>
                    </a:solidFill>
                  </a:rPr>
                  <a:t> from 2016 to 2018 with peak in Q4 2017 to Q1 2018.</a:t>
                </a:r>
                <a:endParaRPr lang="en-GB" sz="1400" b="1">
                  <a:solidFill>
                    <a:schemeClr val="accent3">
                      <a:lumMod val="75000"/>
                    </a:schemeClr>
                  </a:solidFill>
                </a:endParaRPr>
              </a:p>
            </xdr:txBody>
          </xdr:sp>
        </xdr:grpSp>
      </xdr:grpSp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CBF093C7-CC19-C4AC-90F1-CAEB65C78623}"/>
              </a:ext>
            </a:extLst>
          </xdr:cNvPr>
          <xdr:cNvGrpSpPr/>
        </xdr:nvGrpSpPr>
        <xdr:grpSpPr>
          <a:xfrm>
            <a:off x="0" y="5149276"/>
            <a:ext cx="11548590" cy="3907538"/>
            <a:chOff x="0" y="5108725"/>
            <a:chExt cx="11508566" cy="3876675"/>
          </a:xfrm>
        </xdr:grpSpPr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AFE1D464-6792-4169-B2C0-4ED3FD35ADE7}"/>
                </a:ext>
              </a:extLst>
            </xdr:cNvPr>
            <xdr:cNvSpPr/>
          </xdr:nvSpPr>
          <xdr:spPr>
            <a:xfrm>
              <a:off x="43641" y="5108725"/>
              <a:ext cx="11464925" cy="3876675"/>
            </a:xfrm>
            <a:prstGeom prst="rect">
              <a:avLst/>
            </a:prstGeom>
            <a:noFill/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6889BBA9-571A-9F95-82E6-A007FE292F8A}"/>
                </a:ext>
              </a:extLst>
            </xdr:cNvPr>
            <xdr:cNvCxnSpPr/>
          </xdr:nvCxnSpPr>
          <xdr:spPr>
            <a:xfrm>
              <a:off x="1911532" y="5244283"/>
              <a:ext cx="9510576" cy="0"/>
            </a:xfrm>
            <a:prstGeom prst="line">
              <a:avLst/>
            </a:prstGeom>
            <a:ln/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D452ACB6-FB85-269E-5879-A2F68FE1EEE1}"/>
                </a:ext>
              </a:extLst>
            </xdr:cNvPr>
            <xdr:cNvGrpSpPr/>
          </xdr:nvGrpSpPr>
          <xdr:grpSpPr>
            <a:xfrm>
              <a:off x="0" y="5375274"/>
              <a:ext cx="5672774" cy="3591445"/>
              <a:chOff x="0" y="5473700"/>
              <a:chExt cx="5698175" cy="3651886"/>
            </a:xfrm>
          </xdr:grpSpPr>
          <xdr:graphicFrame macro="">
            <xdr:nvGraphicFramePr>
              <xdr:cNvPr id="23" name="Chart 1">
                <a:extLst>
                  <a:ext uri="{FF2B5EF4-FFF2-40B4-BE49-F238E27FC236}">
                    <a16:creationId xmlns:a16="http://schemas.microsoft.com/office/drawing/2014/main" id="{8B7BC8EA-D23C-47F0-B22E-D9EB3FAE432B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0" y="5473700"/>
              <a:ext cx="5697946" cy="298413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">
            <xdr:nvSpPr>
              <xdr:cNvPr id="44" name="TextBox 43">
                <a:extLst>
                  <a:ext uri="{FF2B5EF4-FFF2-40B4-BE49-F238E27FC236}">
                    <a16:creationId xmlns:a16="http://schemas.microsoft.com/office/drawing/2014/main" id="{D974346D-BDB2-2800-55AA-93A7BE3AA70E}"/>
                  </a:ext>
                </a:extLst>
              </xdr:cNvPr>
              <xdr:cNvSpPr txBox="1"/>
            </xdr:nvSpPr>
            <xdr:spPr>
              <a:xfrm>
                <a:off x="6349" y="8458200"/>
                <a:ext cx="5691826" cy="66738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400" b="1">
                    <a:solidFill>
                      <a:schemeClr val="accent3">
                        <a:lumMod val="75000"/>
                      </a:schemeClr>
                    </a:solidFill>
                  </a:rPr>
                  <a:t>Average delivery</a:t>
                </a:r>
                <a:r>
                  <a:rPr lang="en-GB" sz="1400" b="1" baseline="0">
                    <a:solidFill>
                      <a:schemeClr val="accent3">
                        <a:lumMod val="75000"/>
                      </a:schemeClr>
                    </a:solidFill>
                  </a:rPr>
                  <a:t> time varies by state, with RR having the longest lead time and SP the shortest</a:t>
                </a:r>
                <a:r>
                  <a:rPr lang="en-GB" sz="1100" baseline="0">
                    <a:solidFill>
                      <a:schemeClr val="accent3">
                        <a:lumMod val="75000"/>
                      </a:schemeClr>
                    </a:solidFill>
                  </a:rPr>
                  <a:t>.</a:t>
                </a:r>
                <a:endParaRPr lang="en-GB" sz="1100">
                  <a:solidFill>
                    <a:schemeClr val="accent3">
                      <a:lumMod val="75000"/>
                    </a:schemeClr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9</xdr:col>
      <xdr:colOff>21912</xdr:colOff>
      <xdr:row>29</xdr:row>
      <xdr:rowOff>39370</xdr:rowOff>
    </xdr:from>
    <xdr:to>
      <xdr:col>17</xdr:col>
      <xdr:colOff>636308</xdr:colOff>
      <xdr:row>49</xdr:row>
      <xdr:rowOff>14243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95207232-16A3-1F8F-317A-FA8A9633B3C4}"/>
            </a:ext>
          </a:extLst>
        </xdr:cNvPr>
        <xdr:cNvGrpSpPr/>
      </xdr:nvGrpSpPr>
      <xdr:grpSpPr>
        <a:xfrm>
          <a:off x="5818555" y="5409656"/>
          <a:ext cx="5766967" cy="3603444"/>
          <a:chOff x="5793740" y="5481320"/>
          <a:chExt cx="5541009" cy="3625506"/>
        </a:xfrm>
      </xdr:grpSpPr>
      <xdr:graphicFrame macro="">
        <xdr:nvGraphicFramePr>
          <xdr:cNvPr id="24" name="Chart 1">
            <a:extLst>
              <a:ext uri="{FF2B5EF4-FFF2-40B4-BE49-F238E27FC236}">
                <a16:creationId xmlns:a16="http://schemas.microsoft.com/office/drawing/2014/main" id="{869237A8-41C8-4665-B298-D34DA28671BA}"/>
              </a:ext>
            </a:extLst>
          </xdr:cNvPr>
          <xdr:cNvGraphicFramePr>
            <a:graphicFrameLocks/>
          </xdr:cNvGraphicFramePr>
        </xdr:nvGraphicFramePr>
        <xdr:xfrm>
          <a:off x="5793740" y="5481320"/>
          <a:ext cx="5534660" cy="29895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4CACBF4-5648-9E4D-4126-BBBEBAE80504}"/>
              </a:ext>
            </a:extLst>
          </xdr:cNvPr>
          <xdr:cNvSpPr txBox="1"/>
        </xdr:nvSpPr>
        <xdr:spPr>
          <a:xfrm>
            <a:off x="5796647" y="8458200"/>
            <a:ext cx="5538102" cy="6486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400" b="1">
                <a:solidFill>
                  <a:schemeClr val="accent3">
                    <a:lumMod val="75000"/>
                  </a:schemeClr>
                </a:solidFill>
              </a:rPr>
              <a:t>Higher installment plans correlate with higher average order value.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606EEC-3F07-4D0F-BDB2-BCEBC0C09BCD}" autoFormatId="16" applyNumberFormats="0" applyBorderFormats="0" applyFontFormats="0" applyPatternFormats="0" applyAlignmentFormats="0" applyWidthHeightFormats="0">
  <queryTableRefresh nextId="5">
    <queryTableFields count="4">
      <queryTableField id="1" name="order_date" tableColumnId="1"/>
      <queryTableField id="2" name="total_orders" tableColumnId="2"/>
      <queryTableField id="3" name="total_revenue" tableColumnId="3"/>
      <queryTableField id="4" name="avg_review_scor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11E69A06-18A9-4499-B56B-4CFEDD3BA547}" autoFormatId="16" applyNumberFormats="0" applyBorderFormats="0" applyFontFormats="0" applyPatternFormats="0" applyAlignmentFormats="0" applyWidthHeightFormats="0">
  <queryTableRefresh nextId="2">
    <queryTableFields count="1">
      <queryTableField id="1" name="avg_review_scor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D5CC73D-1405-48B1-834E-9303091171F8}" autoFormatId="16" applyNumberFormats="0" applyBorderFormats="0" applyFontFormats="0" applyPatternFormats="0" applyAlignmentFormats="0" applyWidthHeightFormats="0">
  <queryTableRefresh nextId="2">
    <queryTableFields count="1">
      <queryTableField id="1" name="percentage_contribution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3E2725-6264-4EF1-8047-F39D10077327}" autoFormatId="16" applyNumberFormats="0" applyBorderFormats="0" applyFontFormats="0" applyPatternFormats="0" applyAlignmentFormats="0" applyWidthHeightFormats="0">
  <queryTableRefresh nextId="4">
    <queryTableFields count="3">
      <queryTableField id="1" name="seller_id" tableColumnId="1"/>
      <queryTableField id="3" dataBound="0" tableColumnId="3"/>
      <queryTableField id="2" name="total_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94062E-5630-4226-95FA-53DFA34D947C}" autoFormatId="16" applyNumberFormats="0" applyBorderFormats="0" applyFontFormats="0" applyPatternFormats="0" applyAlignmentFormats="0" applyWidthHeightFormats="0">
  <queryTableRefresh nextId="4">
    <queryTableFields count="3">
      <queryTableField id="1" name="customer_state" tableColumnId="1"/>
      <queryTableField id="2" name="total_orders" tableColumnId="2"/>
      <queryTableField id="3" name="avg_delivery_day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29EC7BB-E918-49AA-99AF-A673549E66EB}" autoFormatId="16" applyNumberFormats="0" applyBorderFormats="0" applyFontFormats="0" applyPatternFormats="0" applyAlignmentFormats="0" applyWidthHeightFormats="0">
  <queryTableRefresh nextId="4">
    <queryTableFields count="3">
      <queryTableField id="1" name="installments" tableColumnId="1"/>
      <queryTableField id="2" name="avg_order_value" tableColumnId="2"/>
      <queryTableField id="3" name="total_order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DC382-7BB5-4E4A-9781-DD5F76DB22D3}" name="Query4" displayName="Query4" ref="A1:D25" tableType="queryTable" totalsRowCount="1" headerRowDxfId="39" dataDxfId="37" headerRowBorderDxfId="38" tableBorderDxfId="36" totalsRowBorderDxfId="35">
  <autoFilter ref="A1:D24" xr:uid="{522DC382-7BB5-4E4A-9781-DD5F76DB22D3}">
    <filterColumn colId="0" hiddenButton="1"/>
    <filterColumn colId="1" hiddenButton="1"/>
    <filterColumn colId="2" hiddenButton="1"/>
    <filterColumn colId="3" hiddenButton="1"/>
  </autoFilter>
  <tableColumns count="4">
    <tableColumn id="1" xr3:uid="{C98CAC20-4D6E-46B8-926D-919AD97D2A1B}" uniqueName="1" name="order_date" totalsRowLabel="Total" queryTableFieldId="1" dataDxfId="34" totalsRowDxfId="33"/>
    <tableColumn id="2" xr3:uid="{AD6ECB8E-D61D-4CC5-9A7A-EC2F15C5887B}" uniqueName="2" name="total_orders" totalsRowFunction="sum" queryTableFieldId="2" dataDxfId="32" totalsRowDxfId="31" dataCellStyle="Comma" totalsRowCellStyle="Comma"/>
    <tableColumn id="3" xr3:uid="{40BA2D13-4DE3-4E6E-8236-F750B3F45FA1}" uniqueName="3" name="total_revenue" totalsRowFunction="sum" queryTableFieldId="3" dataDxfId="30" totalsRowDxfId="29"/>
    <tableColumn id="4" xr3:uid="{FF7D1590-B3D1-4092-A8D2-6612D6FEADF0}" uniqueName="4" name="avg_review_score" totalsRowFunction="average" queryTableFieldId="4" dataDxfId="28" totalsRowDxfId="27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08C8F5-CC6A-4D6F-BE94-66634DBD448C}" name="Query5" displayName="Query5" ref="A28:A29" tableType="queryTable" totalsRowShown="0" headerRowDxfId="26" dataDxfId="25">
  <autoFilter ref="A28:A29" xr:uid="{E008C8F5-CC6A-4D6F-BE94-66634DBD448C}">
    <filterColumn colId="0" hiddenButton="1"/>
  </autoFilter>
  <tableColumns count="1">
    <tableColumn id="1" xr3:uid="{AF69252C-3792-4111-9527-6A877DF7FB2F}" uniqueName="1" name="avg_review_score" queryTableFieldId="1" dataDxfId="2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F82092-3995-487D-9418-A4885A8A5E0C}" name="Query6" displayName="Query6" ref="A33:A34" tableType="queryTable" totalsRowShown="0" headerRowDxfId="23" dataDxfId="22" headerRowCellStyle="Percent" dataCellStyle="Percent">
  <autoFilter ref="A33:A34" xr:uid="{DBF82092-3995-487D-9418-A4885A8A5E0C}">
    <filterColumn colId="0" hiddenButton="1"/>
  </autoFilter>
  <tableColumns count="1">
    <tableColumn id="1" xr3:uid="{A522D090-D049-49A8-95B7-809C64DF6E33}" uniqueName="1" name="percentage_contribution" queryTableFieldId="1" dataDxfId="21" dataCellStyle="Percent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5E3CF-6D8E-4358-ACC4-EF2CDDF92630}" name="Query2" displayName="Query2" ref="A1:C11" tableType="queryTable" totalsRowShown="0" headerRowDxfId="20" dataDxfId="18" headerRowBorderDxfId="19" tableBorderDxfId="17" totalsRowBorderDxfId="16">
  <sortState xmlns:xlrd2="http://schemas.microsoft.com/office/spreadsheetml/2017/richdata2" ref="A2:C11">
    <sortCondition ref="C2:C11"/>
  </sortState>
  <tableColumns count="3">
    <tableColumn id="1" xr3:uid="{A1C5F288-2053-4693-A48E-7468364FC193}" uniqueName="1" name="seller_id" queryTableFieldId="1" dataDxfId="15"/>
    <tableColumn id="3" xr3:uid="{B72FCE44-2F25-43C1-8455-F7F5D107E6F8}" uniqueName="3" name="Column1" queryTableFieldId="3" dataDxfId="14">
      <calculatedColumnFormula>"Seller " &amp; ROW()-1</calculatedColumnFormula>
    </tableColumn>
    <tableColumn id="2" xr3:uid="{54A30189-D20E-43C3-A112-AE8FDB839839}" uniqueName="2" name="total_revenue" queryTableFieldId="2" dataDxfId="13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FAF970-7F76-4CD3-BE2F-D6E59EE45937}" name="Query1" displayName="Query1" ref="A1:C28" tableType="queryTable" totalsRowShown="0" headerRowDxfId="12" dataDxfId="11">
  <tableColumns count="3">
    <tableColumn id="1" xr3:uid="{0976B5F6-D78A-4FFF-B181-3472ED502C1C}" uniqueName="1" name="customer_state" queryTableFieldId="1" dataDxfId="10"/>
    <tableColumn id="2" xr3:uid="{720228CF-A2EA-4EAD-B96E-8C2C6ABE4390}" uniqueName="2" name="total_orders" queryTableFieldId="2" dataDxfId="9"/>
    <tableColumn id="3" xr3:uid="{60366665-D85A-4196-9022-7B1A330075AD}" uniqueName="3" name="avg_delivery_days" queryTableFieldId="3" dataDxfId="8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41C372-87A1-44B4-B4E5-FDC80EA41824}" name="Query3" displayName="Query3" ref="A1:C25" tableType="queryTable" totalsRowShown="0" headerRowDxfId="7" dataDxfId="5" headerRowBorderDxfId="6" tableBorderDxfId="4" totalsRowBorderDxfId="3">
  <tableColumns count="3">
    <tableColumn id="1" xr3:uid="{62D19377-CB34-4901-A547-16F709650420}" uniqueName="1" name="installments" queryTableFieldId="1" dataDxfId="2"/>
    <tableColumn id="2" xr3:uid="{4D46FCA9-7847-4A3B-990F-935F7C9E491C}" uniqueName="2" name="avg_order_value" queryTableFieldId="2" dataDxfId="1"/>
    <tableColumn id="3" xr3:uid="{26534FF3-5192-4788-8B09-8EE1A6F43AD5}" uniqueName="3" name="total_orders" queryTableFieldId="3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AB3C-2D80-44AD-9450-81A72960D1E9}">
  <dimension ref="A2:B5"/>
  <sheetViews>
    <sheetView workbookViewId="0">
      <selection activeCell="F13" sqref="E13:F13"/>
    </sheetView>
  </sheetViews>
  <sheetFormatPr defaultRowHeight="14.4" x14ac:dyDescent="0.55000000000000004"/>
  <cols>
    <col min="1" max="1" width="25.47265625" bestFit="1" customWidth="1"/>
    <col min="2" max="2" width="18.15625" customWidth="1"/>
  </cols>
  <sheetData>
    <row r="2" spans="1:2" ht="18.3" x14ac:dyDescent="0.7">
      <c r="A2" s="17" t="s">
        <v>69</v>
      </c>
      <c r="B2" s="38">
        <f>SUM(Query4[total_revenue])</f>
        <v>15489665.555157864</v>
      </c>
    </row>
    <row r="3" spans="1:2" ht="18.3" x14ac:dyDescent="0.7">
      <c r="A3" s="17" t="s">
        <v>70</v>
      </c>
      <c r="B3" s="39">
        <f>SUM(Query4[total_orders])</f>
        <v>96478</v>
      </c>
    </row>
    <row r="4" spans="1:2" ht="18.3" x14ac:dyDescent="0.7">
      <c r="A4" s="17" t="s">
        <v>71</v>
      </c>
      <c r="B4" s="40" cm="1">
        <f t="array" ref="B4">Query5[avg_review_score]</f>
        <v>4</v>
      </c>
    </row>
    <row r="5" spans="1:2" ht="18.3" x14ac:dyDescent="0.7">
      <c r="A5" s="17" t="s">
        <v>72</v>
      </c>
      <c r="B5" s="41" cm="1">
        <f t="array" ref="B5">Query6[percentage_contribution]</f>
        <v>0.81620753092548903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5750-4A5C-4D18-8A42-4C7EC9CB5D07}">
  <dimension ref="A9:AC29"/>
  <sheetViews>
    <sheetView showGridLines="0" showRowColHeaders="0" tabSelected="1" zoomScale="42" zoomScaleNormal="42" workbookViewId="0">
      <selection activeCell="AA34" sqref="AA34"/>
    </sheetView>
  </sheetViews>
  <sheetFormatPr defaultRowHeight="14.4" x14ac:dyDescent="0.55000000000000004"/>
  <cols>
    <col min="1" max="16384" width="8.83984375" style="34"/>
  </cols>
  <sheetData>
    <row r="9" spans="1:23" ht="18.3" x14ac:dyDescent="0.7">
      <c r="A9" s="35" t="s">
        <v>76</v>
      </c>
      <c r="B9" s="35"/>
      <c r="W9" s="36"/>
    </row>
    <row r="23" spans="1:29" x14ac:dyDescent="0.55000000000000004">
      <c r="AC23" s="37"/>
    </row>
    <row r="29" spans="1:29" ht="18.3" x14ac:dyDescent="0.7">
      <c r="A29" s="35" t="s">
        <v>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2F5C-D53F-4848-8E10-DB63EA413948}">
  <dimension ref="A1:D34"/>
  <sheetViews>
    <sheetView showGridLines="0" zoomScale="99" zoomScaleNormal="99" workbookViewId="0">
      <selection activeCell="G4" sqref="G4"/>
    </sheetView>
  </sheetViews>
  <sheetFormatPr defaultRowHeight="14.4" x14ac:dyDescent="0.55000000000000004"/>
  <cols>
    <col min="1" max="1" width="20.5234375" bestFit="1" customWidth="1"/>
    <col min="2" max="2" width="12.62890625" style="22" bestFit="1" customWidth="1"/>
    <col min="3" max="3" width="13.89453125" style="10" bestFit="1" customWidth="1"/>
    <col min="4" max="4" width="16.9453125" bestFit="1" customWidth="1"/>
  </cols>
  <sheetData>
    <row r="1" spans="1:4" x14ac:dyDescent="0.55000000000000004">
      <c r="A1" s="12" t="s">
        <v>44</v>
      </c>
      <c r="B1" s="21" t="s">
        <v>13</v>
      </c>
      <c r="C1" s="23" t="s">
        <v>1</v>
      </c>
      <c r="D1" s="13" t="s">
        <v>73</v>
      </c>
    </row>
    <row r="2" spans="1:4" x14ac:dyDescent="0.55000000000000004">
      <c r="A2" s="5" t="s">
        <v>45</v>
      </c>
      <c r="B2" s="19">
        <v>1</v>
      </c>
      <c r="C2" s="25">
        <v>143.46000480651855</v>
      </c>
      <c r="D2" s="6">
        <v>1</v>
      </c>
    </row>
    <row r="3" spans="1:4" x14ac:dyDescent="0.55000000000000004">
      <c r="A3" s="5" t="s">
        <v>46</v>
      </c>
      <c r="B3" s="19">
        <v>265</v>
      </c>
      <c r="C3" s="25">
        <v>46671.479865550995</v>
      </c>
      <c r="D3" s="6">
        <v>3</v>
      </c>
    </row>
    <row r="4" spans="1:4" x14ac:dyDescent="0.55000000000000004">
      <c r="A4" s="5" t="s">
        <v>47</v>
      </c>
      <c r="B4" s="19">
        <v>1</v>
      </c>
      <c r="C4" s="25">
        <v>19.619999885559082</v>
      </c>
      <c r="D4" s="6">
        <v>5</v>
      </c>
    </row>
    <row r="5" spans="1:4" x14ac:dyDescent="0.55000000000000004">
      <c r="A5" s="5" t="s">
        <v>48</v>
      </c>
      <c r="B5" s="19">
        <v>750</v>
      </c>
      <c r="C5" s="25">
        <v>128454.09990283288</v>
      </c>
      <c r="D5" s="6">
        <v>4</v>
      </c>
    </row>
    <row r="6" spans="1:4" x14ac:dyDescent="0.55000000000000004">
      <c r="A6" s="5" t="s">
        <v>49</v>
      </c>
      <c r="B6" s="19">
        <v>1653</v>
      </c>
      <c r="C6" s="25">
        <v>272657.25996021554</v>
      </c>
      <c r="D6" s="6">
        <v>4</v>
      </c>
    </row>
    <row r="7" spans="1:4" x14ac:dyDescent="0.55000000000000004">
      <c r="A7" s="5" t="s">
        <v>50</v>
      </c>
      <c r="B7" s="19">
        <v>2546</v>
      </c>
      <c r="C7" s="25">
        <v>416327.29959148169</v>
      </c>
      <c r="D7" s="6">
        <v>4</v>
      </c>
    </row>
    <row r="8" spans="1:4" x14ac:dyDescent="0.55000000000000004">
      <c r="A8" s="5" t="s">
        <v>51</v>
      </c>
      <c r="B8" s="19">
        <v>2303</v>
      </c>
      <c r="C8" s="25">
        <v>391484.44974863529</v>
      </c>
      <c r="D8" s="6">
        <v>4</v>
      </c>
    </row>
    <row r="9" spans="1:4" x14ac:dyDescent="0.55000000000000004">
      <c r="A9" s="5" t="s">
        <v>52</v>
      </c>
      <c r="B9" s="19">
        <v>3546</v>
      </c>
      <c r="C9" s="25">
        <v>570837.89966866747</v>
      </c>
      <c r="D9" s="6">
        <v>4</v>
      </c>
    </row>
    <row r="10" spans="1:4" x14ac:dyDescent="0.55000000000000004">
      <c r="A10" s="5" t="s">
        <v>53</v>
      </c>
      <c r="B10" s="19">
        <v>3135</v>
      </c>
      <c r="C10" s="25">
        <v>494147.47042387724</v>
      </c>
      <c r="D10" s="6">
        <v>4</v>
      </c>
    </row>
    <row r="11" spans="1:4" x14ac:dyDescent="0.55000000000000004">
      <c r="A11" s="5" t="s">
        <v>54</v>
      </c>
      <c r="B11" s="19">
        <v>3872</v>
      </c>
      <c r="C11" s="25">
        <v>570027.48068630137</v>
      </c>
      <c r="D11" s="6">
        <v>4</v>
      </c>
    </row>
    <row r="12" spans="1:4" x14ac:dyDescent="0.55000000000000004">
      <c r="A12" s="5" t="s">
        <v>55</v>
      </c>
      <c r="B12" s="19">
        <v>4193</v>
      </c>
      <c r="C12" s="25">
        <v>651423.74076068401</v>
      </c>
      <c r="D12" s="6">
        <v>4</v>
      </c>
    </row>
    <row r="13" spans="1:4" x14ac:dyDescent="0.55000000000000004">
      <c r="A13" s="5" t="s">
        <v>56</v>
      </c>
      <c r="B13" s="19">
        <v>4150</v>
      </c>
      <c r="C13" s="25">
        <v>703978.53977910802</v>
      </c>
      <c r="D13" s="6">
        <v>4</v>
      </c>
    </row>
    <row r="14" spans="1:4" x14ac:dyDescent="0.55000000000000004">
      <c r="A14" s="5" t="s">
        <v>57</v>
      </c>
      <c r="B14" s="19">
        <v>4478</v>
      </c>
      <c r="C14" s="25">
        <v>755217.45034024678</v>
      </c>
      <c r="D14" s="6">
        <v>4</v>
      </c>
    </row>
    <row r="15" spans="1:4" x14ac:dyDescent="0.55000000000000004">
      <c r="A15" s="5" t="s">
        <v>58</v>
      </c>
      <c r="B15" s="19">
        <v>7289</v>
      </c>
      <c r="C15" s="25">
        <v>1161920.5316341035</v>
      </c>
      <c r="D15" s="6">
        <v>3</v>
      </c>
    </row>
    <row r="16" spans="1:4" x14ac:dyDescent="0.55000000000000004">
      <c r="A16" s="5" t="s">
        <v>59</v>
      </c>
      <c r="B16" s="19">
        <v>5513</v>
      </c>
      <c r="C16" s="25">
        <v>846369.60024387203</v>
      </c>
      <c r="D16" s="6">
        <v>4</v>
      </c>
    </row>
    <row r="17" spans="1:4" x14ac:dyDescent="0.55000000000000004">
      <c r="A17" s="5" t="s">
        <v>60</v>
      </c>
      <c r="B17" s="19">
        <v>7069</v>
      </c>
      <c r="C17" s="25">
        <v>1084202.9619737528</v>
      </c>
      <c r="D17" s="6">
        <v>4</v>
      </c>
    </row>
    <row r="18" spans="1:4" x14ac:dyDescent="0.55000000000000004">
      <c r="A18" s="5" t="s">
        <v>61</v>
      </c>
      <c r="B18" s="19">
        <v>6555</v>
      </c>
      <c r="C18" s="25">
        <v>977182.1419416666</v>
      </c>
      <c r="D18" s="6">
        <v>3</v>
      </c>
    </row>
    <row r="19" spans="1:4" x14ac:dyDescent="0.55000000000000004">
      <c r="A19" s="5" t="s">
        <v>62</v>
      </c>
      <c r="B19" s="19">
        <v>7003</v>
      </c>
      <c r="C19" s="25">
        <v>1125026.3209884912</v>
      </c>
      <c r="D19" s="6">
        <v>3</v>
      </c>
    </row>
    <row r="20" spans="1:4" x14ac:dyDescent="0.55000000000000004">
      <c r="A20" s="5" t="s">
        <v>63</v>
      </c>
      <c r="B20" s="19">
        <v>6798</v>
      </c>
      <c r="C20" s="25">
        <v>1135408.1090527773</v>
      </c>
      <c r="D20" s="6">
        <v>4</v>
      </c>
    </row>
    <row r="21" spans="1:4" x14ac:dyDescent="0.55000000000000004">
      <c r="A21" s="5" t="s">
        <v>64</v>
      </c>
      <c r="B21" s="19">
        <v>6749</v>
      </c>
      <c r="C21" s="25">
        <v>1129431.649291195</v>
      </c>
      <c r="D21" s="6">
        <v>4</v>
      </c>
    </row>
    <row r="22" spans="1:4" x14ac:dyDescent="0.55000000000000004">
      <c r="A22" s="5" t="s">
        <v>65</v>
      </c>
      <c r="B22" s="19">
        <v>6099</v>
      </c>
      <c r="C22" s="25">
        <v>1012975.6492569931</v>
      </c>
      <c r="D22" s="6">
        <v>4</v>
      </c>
    </row>
    <row r="23" spans="1:4" x14ac:dyDescent="0.55000000000000004">
      <c r="A23" s="5" t="s">
        <v>66</v>
      </c>
      <c r="B23" s="19">
        <v>6159</v>
      </c>
      <c r="C23" s="25">
        <v>1030162.0002663136</v>
      </c>
      <c r="D23" s="6">
        <v>4</v>
      </c>
    </row>
    <row r="24" spans="1:4" x14ac:dyDescent="0.55000000000000004">
      <c r="A24" s="7" t="s">
        <v>67</v>
      </c>
      <c r="B24" s="20">
        <v>6351</v>
      </c>
      <c r="C24" s="26">
        <v>985596.33977640606</v>
      </c>
      <c r="D24" s="8">
        <v>4</v>
      </c>
    </row>
    <row r="25" spans="1:4" x14ac:dyDescent="0.55000000000000004">
      <c r="A25" s="14" t="s">
        <v>68</v>
      </c>
      <c r="B25" s="18">
        <f>SUBTOTAL(109,Query4[total_orders])</f>
        <v>96478</v>
      </c>
      <c r="C25" s="24">
        <f>SUBTOTAL(109,Query4[total_revenue])</f>
        <v>15489665.555157864</v>
      </c>
      <c r="D25" s="11">
        <f>SUBTOTAL(101,Query4[avg_review_score])</f>
        <v>3.7391304347826089</v>
      </c>
    </row>
    <row r="28" spans="1:4" x14ac:dyDescent="0.55000000000000004">
      <c r="A28" s="2" t="s">
        <v>73</v>
      </c>
    </row>
    <row r="29" spans="1:4" x14ac:dyDescent="0.55000000000000004">
      <c r="A29" s="16">
        <v>4</v>
      </c>
    </row>
    <row r="33" spans="1:1" x14ac:dyDescent="0.55000000000000004">
      <c r="A33" s="15" t="s">
        <v>74</v>
      </c>
    </row>
    <row r="34" spans="1:1" x14ac:dyDescent="0.55000000000000004">
      <c r="A34" s="15">
        <v>0.81620753092548903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76F5-0C10-468D-B377-6B5AC76CA020}">
  <dimension ref="A1:C11"/>
  <sheetViews>
    <sheetView showGridLines="0" workbookViewId="0">
      <selection activeCell="M13" sqref="M13"/>
    </sheetView>
  </sheetViews>
  <sheetFormatPr defaultRowHeight="14.4" x14ac:dyDescent="0.55000000000000004"/>
  <cols>
    <col min="1" max="1" width="32.3671875" bestFit="1" customWidth="1"/>
    <col min="2" max="2" width="20.15625" customWidth="1"/>
    <col min="3" max="3" width="13.89453125" bestFit="1" customWidth="1"/>
  </cols>
  <sheetData>
    <row r="1" spans="1:3" x14ac:dyDescent="0.55000000000000004">
      <c r="A1" s="3" t="s">
        <v>0</v>
      </c>
      <c r="B1" s="31" t="s">
        <v>75</v>
      </c>
      <c r="C1" s="4" t="s">
        <v>1</v>
      </c>
    </row>
    <row r="2" spans="1:3" x14ac:dyDescent="0.55000000000000004">
      <c r="A2" s="5" t="s">
        <v>11</v>
      </c>
      <c r="B2" s="32" t="str">
        <f t="shared" ref="B2:B11" si="0">"Seller " &amp; ROW()-1</f>
        <v>Seller 1</v>
      </c>
      <c r="C2" s="6">
        <v>156606.48069047928</v>
      </c>
    </row>
    <row r="3" spans="1:3" x14ac:dyDescent="0.55000000000000004">
      <c r="A3" s="5" t="s">
        <v>10</v>
      </c>
      <c r="B3" s="32" t="str">
        <f t="shared" si="0"/>
        <v>Seller 2</v>
      </c>
      <c r="C3" s="6">
        <v>160278.52160453796</v>
      </c>
    </row>
    <row r="4" spans="1:3" x14ac:dyDescent="0.55000000000000004">
      <c r="A4" s="5" t="s">
        <v>9</v>
      </c>
      <c r="B4" s="32" t="str">
        <f t="shared" si="0"/>
        <v>Seller 3</v>
      </c>
      <c r="C4" s="6">
        <v>171924.96062781848</v>
      </c>
    </row>
    <row r="5" spans="1:3" x14ac:dyDescent="0.55000000000000004">
      <c r="A5" s="5" t="s">
        <v>8</v>
      </c>
      <c r="B5" s="32" t="str">
        <f t="shared" si="0"/>
        <v>Seller 4</v>
      </c>
      <c r="C5" s="6">
        <v>171973.54936361313</v>
      </c>
    </row>
    <row r="6" spans="1:3" x14ac:dyDescent="0.55000000000000004">
      <c r="A6" s="5" t="s">
        <v>7</v>
      </c>
      <c r="B6" s="32" t="str">
        <f t="shared" si="0"/>
        <v>Seller 5</v>
      </c>
      <c r="C6" s="6">
        <v>184706.77810239792</v>
      </c>
    </row>
    <row r="7" spans="1:3" x14ac:dyDescent="0.55000000000000004">
      <c r="A7" s="5" t="s">
        <v>6</v>
      </c>
      <c r="B7" s="32" t="str">
        <f t="shared" si="0"/>
        <v>Seller 6</v>
      </c>
      <c r="C7" s="6">
        <v>200833.49939870834</v>
      </c>
    </row>
    <row r="8" spans="1:3" x14ac:dyDescent="0.55000000000000004">
      <c r="A8" s="5" t="s">
        <v>5</v>
      </c>
      <c r="B8" s="32" t="str">
        <f t="shared" si="0"/>
        <v>Seller 7</v>
      </c>
      <c r="C8" s="6">
        <v>230797.01956653595</v>
      </c>
    </row>
    <row r="9" spans="1:3" x14ac:dyDescent="0.55000000000000004">
      <c r="A9" s="5" t="s">
        <v>4</v>
      </c>
      <c r="B9" s="32" t="str">
        <f t="shared" si="0"/>
        <v>Seller 8</v>
      </c>
      <c r="C9" s="6">
        <v>231220.43150305748</v>
      </c>
    </row>
    <row r="10" spans="1:3" x14ac:dyDescent="0.55000000000000004">
      <c r="A10" s="5" t="s">
        <v>3</v>
      </c>
      <c r="B10" s="32" t="str">
        <f t="shared" si="0"/>
        <v>Seller 9</v>
      </c>
      <c r="C10" s="6">
        <v>237806.69195662066</v>
      </c>
    </row>
    <row r="11" spans="1:3" x14ac:dyDescent="0.55000000000000004">
      <c r="A11" s="7" t="s">
        <v>2</v>
      </c>
      <c r="B11" s="33" t="str">
        <f t="shared" si="0"/>
        <v>Seller 10</v>
      </c>
      <c r="C11" s="8">
        <v>247007.05833983421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72E4-1A29-411C-96EF-73EB700ABFE1}">
  <dimension ref="A1:C28"/>
  <sheetViews>
    <sheetView showGridLines="0" workbookViewId="0">
      <selection activeCell="K8" sqref="K8"/>
    </sheetView>
  </sheetViews>
  <sheetFormatPr defaultRowHeight="14.4" x14ac:dyDescent="0.55000000000000004"/>
  <cols>
    <col min="1" max="1" width="15.5234375" style="1" bestFit="1" customWidth="1"/>
    <col min="2" max="2" width="12.62890625" style="1" bestFit="1" customWidth="1"/>
    <col min="3" max="3" width="17.3125" style="1" bestFit="1" customWidth="1"/>
  </cols>
  <sheetData>
    <row r="1" spans="1:3" x14ac:dyDescent="0.55000000000000004">
      <c r="A1" s="2" t="s">
        <v>12</v>
      </c>
      <c r="B1" s="2" t="s">
        <v>13</v>
      </c>
      <c r="C1" s="2" t="s">
        <v>14</v>
      </c>
    </row>
    <row r="2" spans="1:3" x14ac:dyDescent="0.55000000000000004">
      <c r="A2" s="9" t="s">
        <v>15</v>
      </c>
      <c r="B2" s="9">
        <v>41</v>
      </c>
      <c r="C2" s="9">
        <v>29</v>
      </c>
    </row>
    <row r="3" spans="1:3" x14ac:dyDescent="0.55000000000000004">
      <c r="A3" s="9" t="s">
        <v>16</v>
      </c>
      <c r="B3" s="9">
        <v>67</v>
      </c>
      <c r="C3" s="9">
        <v>27</v>
      </c>
    </row>
    <row r="4" spans="1:3" x14ac:dyDescent="0.55000000000000004">
      <c r="A4" s="9" t="s">
        <v>17</v>
      </c>
      <c r="B4" s="9">
        <v>145</v>
      </c>
      <c r="C4" s="9">
        <v>26</v>
      </c>
    </row>
    <row r="5" spans="1:3" x14ac:dyDescent="0.55000000000000004">
      <c r="A5" s="9" t="s">
        <v>18</v>
      </c>
      <c r="B5" s="9">
        <v>397</v>
      </c>
      <c r="C5" s="9">
        <v>24</v>
      </c>
    </row>
    <row r="6" spans="1:3" x14ac:dyDescent="0.55000000000000004">
      <c r="A6" s="9" t="s">
        <v>19</v>
      </c>
      <c r="B6" s="9">
        <v>946</v>
      </c>
      <c r="C6" s="9">
        <v>23</v>
      </c>
    </row>
    <row r="7" spans="1:3" x14ac:dyDescent="0.55000000000000004">
      <c r="A7" s="9" t="s">
        <v>20</v>
      </c>
      <c r="B7" s="9">
        <v>80</v>
      </c>
      <c r="C7" s="9">
        <v>21</v>
      </c>
    </row>
    <row r="8" spans="1:3" x14ac:dyDescent="0.55000000000000004">
      <c r="A8" s="9" t="s">
        <v>21</v>
      </c>
      <c r="B8" s="9">
        <v>335</v>
      </c>
      <c r="C8" s="9">
        <v>21</v>
      </c>
    </row>
    <row r="9" spans="1:3" x14ac:dyDescent="0.55000000000000004">
      <c r="A9" s="9" t="s">
        <v>22</v>
      </c>
      <c r="B9" s="9">
        <v>717</v>
      </c>
      <c r="C9" s="9">
        <v>21</v>
      </c>
    </row>
    <row r="10" spans="1:3" x14ac:dyDescent="0.55000000000000004">
      <c r="A10" s="9" t="s">
        <v>23</v>
      </c>
      <c r="B10" s="9">
        <v>1279</v>
      </c>
      <c r="C10" s="9">
        <v>21</v>
      </c>
    </row>
    <row r="11" spans="1:3" x14ac:dyDescent="0.55000000000000004">
      <c r="A11" s="9" t="s">
        <v>24</v>
      </c>
      <c r="B11" s="9">
        <v>517</v>
      </c>
      <c r="C11" s="9">
        <v>20</v>
      </c>
    </row>
    <row r="12" spans="1:3" x14ac:dyDescent="0.55000000000000004">
      <c r="A12" s="9" t="s">
        <v>25</v>
      </c>
      <c r="B12" s="9">
        <v>3256</v>
      </c>
      <c r="C12" s="9">
        <v>19</v>
      </c>
    </row>
    <row r="13" spans="1:3" x14ac:dyDescent="0.55000000000000004">
      <c r="A13" s="9" t="s">
        <v>26</v>
      </c>
      <c r="B13" s="9">
        <v>243</v>
      </c>
      <c r="C13" s="9">
        <v>19</v>
      </c>
    </row>
    <row r="14" spans="1:3" x14ac:dyDescent="0.55000000000000004">
      <c r="A14" s="9" t="s">
        <v>27</v>
      </c>
      <c r="B14" s="9">
        <v>474</v>
      </c>
      <c r="C14" s="9">
        <v>19</v>
      </c>
    </row>
    <row r="15" spans="1:3" x14ac:dyDescent="0.55000000000000004">
      <c r="A15" s="9" t="s">
        <v>28</v>
      </c>
      <c r="B15" s="9">
        <v>476</v>
      </c>
      <c r="C15" s="9">
        <v>19</v>
      </c>
    </row>
    <row r="16" spans="1:3" x14ac:dyDescent="0.55000000000000004">
      <c r="A16" s="9" t="s">
        <v>29</v>
      </c>
      <c r="B16" s="9">
        <v>886</v>
      </c>
      <c r="C16" s="9">
        <v>18</v>
      </c>
    </row>
    <row r="17" spans="1:3" x14ac:dyDescent="0.55000000000000004">
      <c r="A17" s="9" t="s">
        <v>30</v>
      </c>
      <c r="B17" s="9">
        <v>1593</v>
      </c>
      <c r="C17" s="9">
        <v>18</v>
      </c>
    </row>
    <row r="18" spans="1:3" x14ac:dyDescent="0.55000000000000004">
      <c r="A18" s="9" t="s">
        <v>31</v>
      </c>
      <c r="B18" s="9">
        <v>274</v>
      </c>
      <c r="C18" s="9">
        <v>17</v>
      </c>
    </row>
    <row r="19" spans="1:3" x14ac:dyDescent="0.55000000000000004">
      <c r="A19" s="9" t="s">
        <v>32</v>
      </c>
      <c r="B19" s="9">
        <v>5344</v>
      </c>
      <c r="C19" s="9">
        <v>15</v>
      </c>
    </row>
    <row r="20" spans="1:3" x14ac:dyDescent="0.55000000000000004">
      <c r="A20" s="9" t="s">
        <v>33</v>
      </c>
      <c r="B20" s="9">
        <v>12350</v>
      </c>
      <c r="C20" s="9">
        <v>15</v>
      </c>
    </row>
    <row r="21" spans="1:3" x14ac:dyDescent="0.55000000000000004">
      <c r="A21" s="9" t="s">
        <v>34</v>
      </c>
      <c r="B21" s="9">
        <v>1995</v>
      </c>
      <c r="C21" s="9">
        <v>15</v>
      </c>
    </row>
    <row r="22" spans="1:3" x14ac:dyDescent="0.55000000000000004">
      <c r="A22" s="9" t="s">
        <v>35</v>
      </c>
      <c r="B22" s="9">
        <v>701</v>
      </c>
      <c r="C22" s="9">
        <v>15</v>
      </c>
    </row>
    <row r="23" spans="1:3" x14ac:dyDescent="0.55000000000000004">
      <c r="A23" s="9" t="s">
        <v>36</v>
      </c>
      <c r="B23" s="9">
        <v>1957</v>
      </c>
      <c r="C23" s="9">
        <v>15</v>
      </c>
    </row>
    <row r="24" spans="1:3" x14ac:dyDescent="0.55000000000000004">
      <c r="A24" s="9" t="s">
        <v>37</v>
      </c>
      <c r="B24" s="9">
        <v>3546</v>
      </c>
      <c r="C24" s="9">
        <v>14</v>
      </c>
    </row>
    <row r="25" spans="1:3" x14ac:dyDescent="0.55000000000000004">
      <c r="A25" s="9" t="s">
        <v>38</v>
      </c>
      <c r="B25" s="9">
        <v>2080</v>
      </c>
      <c r="C25" s="9">
        <v>12</v>
      </c>
    </row>
    <row r="26" spans="1:3" x14ac:dyDescent="0.55000000000000004">
      <c r="A26" s="9" t="s">
        <v>39</v>
      </c>
      <c r="B26" s="9">
        <v>4923</v>
      </c>
      <c r="C26" s="9">
        <v>11</v>
      </c>
    </row>
    <row r="27" spans="1:3" x14ac:dyDescent="0.55000000000000004">
      <c r="A27" s="9" t="s">
        <v>40</v>
      </c>
      <c r="B27" s="9">
        <v>11354</v>
      </c>
      <c r="C27" s="9">
        <v>11</v>
      </c>
    </row>
    <row r="28" spans="1:3" x14ac:dyDescent="0.55000000000000004">
      <c r="A28" s="9" t="s">
        <v>41</v>
      </c>
      <c r="B28" s="9">
        <v>40494</v>
      </c>
      <c r="C28" s="9">
        <v>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5FCE-DFF8-4DC5-AEC5-FC938EA07C5C}">
  <dimension ref="A1:C25"/>
  <sheetViews>
    <sheetView showGridLines="0" workbookViewId="0">
      <selection activeCell="K19" sqref="K19"/>
    </sheetView>
  </sheetViews>
  <sheetFormatPr defaultRowHeight="14.4" x14ac:dyDescent="0.55000000000000004"/>
  <cols>
    <col min="1" max="1" width="13" bestFit="1" customWidth="1"/>
    <col min="2" max="2" width="15.83984375" style="30" bestFit="1" customWidth="1"/>
    <col min="3" max="3" width="12.62890625" bestFit="1" customWidth="1"/>
  </cols>
  <sheetData>
    <row r="1" spans="1:3" x14ac:dyDescent="0.55000000000000004">
      <c r="A1" s="3" t="s">
        <v>42</v>
      </c>
      <c r="B1" s="27" t="s">
        <v>43</v>
      </c>
      <c r="C1" s="4" t="s">
        <v>13</v>
      </c>
    </row>
    <row r="2" spans="1:3" x14ac:dyDescent="0.55000000000000004">
      <c r="A2" s="5">
        <v>24</v>
      </c>
      <c r="B2" s="28">
        <v>618.55166625976563</v>
      </c>
      <c r="C2" s="6">
        <v>18</v>
      </c>
    </row>
    <row r="3" spans="1:3" x14ac:dyDescent="0.55000000000000004">
      <c r="A3" s="5">
        <v>23</v>
      </c>
      <c r="B3" s="28">
        <v>236.47999572753906</v>
      </c>
      <c r="C3" s="6">
        <v>1</v>
      </c>
    </row>
    <row r="4" spans="1:3" x14ac:dyDescent="0.55000000000000004">
      <c r="A4" s="5">
        <v>22</v>
      </c>
      <c r="B4" s="28">
        <v>228.71000671386719</v>
      </c>
      <c r="C4" s="6">
        <v>1</v>
      </c>
    </row>
    <row r="5" spans="1:3" x14ac:dyDescent="0.55000000000000004">
      <c r="A5" s="5">
        <v>21</v>
      </c>
      <c r="B5" s="28">
        <v>243.69999694824219</v>
      </c>
      <c r="C5" s="6">
        <v>3</v>
      </c>
    </row>
    <row r="6" spans="1:3" x14ac:dyDescent="0.55000000000000004">
      <c r="A6" s="5">
        <v>20</v>
      </c>
      <c r="B6" s="28">
        <v>615.80176499310664</v>
      </c>
      <c r="C6" s="6">
        <v>17</v>
      </c>
    </row>
    <row r="7" spans="1:3" x14ac:dyDescent="0.55000000000000004">
      <c r="A7" s="5">
        <v>18</v>
      </c>
      <c r="B7" s="28">
        <v>490.18703432436342</v>
      </c>
      <c r="C7" s="6">
        <v>27</v>
      </c>
    </row>
    <row r="8" spans="1:3" x14ac:dyDescent="0.55000000000000004">
      <c r="A8" s="5">
        <v>17</v>
      </c>
      <c r="B8" s="28">
        <v>174.60249900817871</v>
      </c>
      <c r="C8" s="6">
        <v>8</v>
      </c>
    </row>
    <row r="9" spans="1:3" x14ac:dyDescent="0.55000000000000004">
      <c r="A9" s="5">
        <v>16</v>
      </c>
      <c r="B9" s="28">
        <v>292.69399719238282</v>
      </c>
      <c r="C9" s="6">
        <v>5</v>
      </c>
    </row>
    <row r="10" spans="1:3" x14ac:dyDescent="0.55000000000000004">
      <c r="A10" s="5">
        <v>15</v>
      </c>
      <c r="B10" s="28">
        <v>447.30040715191814</v>
      </c>
      <c r="C10" s="6">
        <v>74</v>
      </c>
    </row>
    <row r="11" spans="1:3" x14ac:dyDescent="0.55000000000000004">
      <c r="A11" s="5">
        <v>14</v>
      </c>
      <c r="B11" s="28">
        <v>176.31066684722902</v>
      </c>
      <c r="C11" s="6">
        <v>15</v>
      </c>
    </row>
    <row r="12" spans="1:3" x14ac:dyDescent="0.55000000000000004">
      <c r="A12" s="5">
        <v>13</v>
      </c>
      <c r="B12" s="28">
        <v>150.46249961853027</v>
      </c>
      <c r="C12" s="6">
        <v>16</v>
      </c>
    </row>
    <row r="13" spans="1:3" x14ac:dyDescent="0.55000000000000004">
      <c r="A13" s="5">
        <v>12</v>
      </c>
      <c r="B13" s="28">
        <v>323.05195630582654</v>
      </c>
      <c r="C13" s="6">
        <v>133</v>
      </c>
    </row>
    <row r="14" spans="1:3" x14ac:dyDescent="0.55000000000000004">
      <c r="A14" s="5">
        <v>11</v>
      </c>
      <c r="B14" s="28">
        <v>124.93217468261719</v>
      </c>
      <c r="C14" s="6">
        <v>23</v>
      </c>
    </row>
    <row r="15" spans="1:3" x14ac:dyDescent="0.55000000000000004">
      <c r="A15" s="5">
        <v>10</v>
      </c>
      <c r="B15" s="28">
        <v>418.74726079775445</v>
      </c>
      <c r="C15" s="6">
        <v>5315</v>
      </c>
    </row>
    <row r="16" spans="1:3" x14ac:dyDescent="0.55000000000000004">
      <c r="A16" s="5">
        <v>9</v>
      </c>
      <c r="B16" s="28">
        <v>204.57953429481259</v>
      </c>
      <c r="C16" s="6">
        <v>644</v>
      </c>
    </row>
    <row r="17" spans="1:3" x14ac:dyDescent="0.55000000000000004">
      <c r="A17" s="5">
        <v>8</v>
      </c>
      <c r="B17" s="28">
        <v>309.77434690353084</v>
      </c>
      <c r="C17" s="6">
        <v>4251</v>
      </c>
    </row>
    <row r="18" spans="1:3" x14ac:dyDescent="0.55000000000000004">
      <c r="A18" s="5">
        <v>7</v>
      </c>
      <c r="B18" s="28">
        <v>189.3354748833635</v>
      </c>
      <c r="C18" s="6">
        <v>1622</v>
      </c>
    </row>
    <row r="19" spans="1:3" x14ac:dyDescent="0.55000000000000004">
      <c r="A19" s="5">
        <v>6</v>
      </c>
      <c r="B19" s="28">
        <v>211.59433465769243</v>
      </c>
      <c r="C19" s="6">
        <v>3908</v>
      </c>
    </row>
    <row r="20" spans="1:3" x14ac:dyDescent="0.55000000000000004">
      <c r="A20" s="5">
        <v>5</v>
      </c>
      <c r="B20" s="28">
        <v>184.8886185669183</v>
      </c>
      <c r="C20" s="6">
        <v>5227</v>
      </c>
    </row>
    <row r="21" spans="1:3" x14ac:dyDescent="0.55000000000000004">
      <c r="A21" s="5">
        <v>4</v>
      </c>
      <c r="B21" s="28">
        <v>165.0600326642963</v>
      </c>
      <c r="C21" s="6">
        <v>7070</v>
      </c>
    </row>
    <row r="22" spans="1:3" x14ac:dyDescent="0.55000000000000004">
      <c r="A22" s="5">
        <v>3</v>
      </c>
      <c r="B22" s="28">
        <v>144.36210851243982</v>
      </c>
      <c r="C22" s="6">
        <v>10429</v>
      </c>
    </row>
    <row r="23" spans="1:3" x14ac:dyDescent="0.55000000000000004">
      <c r="A23" s="5">
        <v>2</v>
      </c>
      <c r="B23" s="28">
        <v>129.12455395710927</v>
      </c>
      <c r="C23" s="6">
        <v>12363</v>
      </c>
    </row>
    <row r="24" spans="1:3" x14ac:dyDescent="0.55000000000000004">
      <c r="A24" s="5">
        <v>1</v>
      </c>
      <c r="B24" s="28">
        <v>121.03747139670539</v>
      </c>
      <c r="C24" s="6">
        <v>48268</v>
      </c>
    </row>
    <row r="25" spans="1:3" x14ac:dyDescent="0.55000000000000004">
      <c r="A25" s="7">
        <v>0</v>
      </c>
      <c r="B25" s="29">
        <v>94.315000534057617</v>
      </c>
      <c r="C25" s="8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D0073-1CFE-4998-AB38-43D970C7AC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</vt:lpstr>
      <vt:lpstr>Dashboard</vt:lpstr>
      <vt:lpstr>Monthly_revenue_trend</vt:lpstr>
      <vt:lpstr>Revenue_concentration</vt:lpstr>
      <vt:lpstr>Operational_insights</vt:lpstr>
      <vt:lpstr>Payment_behavior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Adefunke Oshinuga</dc:creator>
  <cp:lastModifiedBy>Adefunke Oshinuga</cp:lastModifiedBy>
  <dcterms:created xsi:type="dcterms:W3CDTF">2026-02-17T23:03:05Z</dcterms:created>
  <dcterms:modified xsi:type="dcterms:W3CDTF">2026-02-24T18:57:22Z</dcterms:modified>
</cp:coreProperties>
</file>